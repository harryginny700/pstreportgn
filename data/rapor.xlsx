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ar\Desktop\"/>
    </mc:Choice>
  </mc:AlternateContent>
  <xr:revisionPtr revIDLastSave="0" documentId="13_ncr:1_{35DBF9B0-E869-4E1F-B166-58967138E4E0}" xr6:coauthVersionLast="47" xr6:coauthVersionMax="47" xr10:uidLastSave="{00000000-0000-0000-0000-000000000000}"/>
  <bookViews>
    <workbookView xWindow="-108" yWindow="-108" windowWidth="23256" windowHeight="13896" activeTab="2" xr2:uid="{708EB821-4B35-4B36-A240-E70E4DFC64F4}"/>
  </bookViews>
  <sheets>
    <sheet name="Genel Kasa" sheetId="40" r:id="rId1"/>
    <sheet name="Kredi" sheetId="9" r:id="rId2"/>
    <sheet name="1" sheetId="2" r:id="rId3"/>
    <sheet name="2" sheetId="6" r:id="rId4"/>
    <sheet name="3" sheetId="11" r:id="rId5"/>
    <sheet name="4" sheetId="12" r:id="rId6"/>
    <sheet name="5" sheetId="13" r:id="rId7"/>
    <sheet name="6" sheetId="14" r:id="rId8"/>
    <sheet name="7" sheetId="15" r:id="rId9"/>
    <sheet name="8" sheetId="16" r:id="rId10"/>
    <sheet name="9" sheetId="17" r:id="rId11"/>
    <sheet name="10" sheetId="18" r:id="rId12"/>
    <sheet name="11" sheetId="19" r:id="rId13"/>
    <sheet name="12" sheetId="20" r:id="rId14"/>
    <sheet name="13" sheetId="21" r:id="rId15"/>
    <sheet name="14" sheetId="22" r:id="rId16"/>
    <sheet name="15" sheetId="23" r:id="rId17"/>
    <sheet name="16" sheetId="24" r:id="rId18"/>
    <sheet name="17" sheetId="25" r:id="rId19"/>
    <sheet name="18" sheetId="26" r:id="rId20"/>
    <sheet name="19" sheetId="27" r:id="rId21"/>
    <sheet name="20" sheetId="28" r:id="rId22"/>
    <sheet name="21" sheetId="29" r:id="rId23"/>
    <sheet name="22" sheetId="30" r:id="rId24"/>
    <sheet name="23" sheetId="31" r:id="rId25"/>
    <sheet name="24" sheetId="32" r:id="rId26"/>
    <sheet name="25" sheetId="33" r:id="rId27"/>
    <sheet name="26" sheetId="34" r:id="rId28"/>
    <sheet name="27" sheetId="35" r:id="rId29"/>
    <sheet name="28" sheetId="36" r:id="rId30"/>
    <sheet name="29" sheetId="37" r:id="rId31"/>
    <sheet name="30" sheetId="38" r:id="rId32"/>
    <sheet name="31" sheetId="39" r:id="rId33"/>
    <sheet name="Devir" sheetId="3" r:id="rId34"/>
    <sheet name="Kasa" sheetId="10" r:id="rId35"/>
    <sheet name="Veriler" sheetId="5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0" l="1"/>
  <c r="N4" i="2"/>
  <c r="L3" i="9"/>
  <c r="K3" i="9"/>
  <c r="I3" i="9"/>
  <c r="H3" i="9"/>
  <c r="F3" i="9"/>
  <c r="E3" i="9"/>
  <c r="C3" i="9"/>
  <c r="B3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G4" i="9" l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D4" i="9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L35" i="9"/>
  <c r="I35" i="9"/>
  <c r="F35" i="9"/>
  <c r="K35" i="9"/>
  <c r="E35" i="9"/>
  <c r="H35" i="9"/>
  <c r="C35" i="9"/>
  <c r="O3" i="9"/>
  <c r="R3" i="9" s="1"/>
  <c r="D3" i="9"/>
  <c r="G3" i="9"/>
  <c r="B35" i="9"/>
  <c r="M3" i="9"/>
  <c r="M4" i="9" s="1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J3" i="9"/>
  <c r="J4" i="9" s="1"/>
  <c r="J5" i="9" s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N3" i="9"/>
  <c r="O5" i="9"/>
  <c r="O6" i="9"/>
  <c r="R6" i="9" s="1"/>
  <c r="O7" i="9"/>
  <c r="R7" i="9" s="1"/>
  <c r="O8" i="9"/>
  <c r="O9" i="9"/>
  <c r="R9" i="9" s="1"/>
  <c r="O10" i="9"/>
  <c r="R10" i="9" s="1"/>
  <c r="O11" i="9"/>
  <c r="R11" i="9" s="1"/>
  <c r="O12" i="9"/>
  <c r="R12" i="9" s="1"/>
  <c r="O13" i="9"/>
  <c r="R13" i="9" s="1"/>
  <c r="O14" i="9"/>
  <c r="R14" i="9" s="1"/>
  <c r="O15" i="9"/>
  <c r="R15" i="9" s="1"/>
  <c r="O16" i="9"/>
  <c r="R16" i="9" s="1"/>
  <c r="O17" i="9"/>
  <c r="R17" i="9" s="1"/>
  <c r="O18" i="9"/>
  <c r="R18" i="9" s="1"/>
  <c r="O19" i="9"/>
  <c r="R19" i="9" s="1"/>
  <c r="O20" i="9"/>
  <c r="R20" i="9" s="1"/>
  <c r="O21" i="9"/>
  <c r="R21" i="9" s="1"/>
  <c r="O22" i="9"/>
  <c r="R22" i="9" s="1"/>
  <c r="O23" i="9"/>
  <c r="R23" i="9" s="1"/>
  <c r="O24" i="9"/>
  <c r="R24" i="9" s="1"/>
  <c r="O25" i="9"/>
  <c r="R25" i="9" s="1"/>
  <c r="O26" i="9"/>
  <c r="R26" i="9" s="1"/>
  <c r="O27" i="9"/>
  <c r="R27" i="9" s="1"/>
  <c r="O28" i="9"/>
  <c r="R28" i="9" s="1"/>
  <c r="O29" i="9"/>
  <c r="R29" i="9" s="1"/>
  <c r="O30" i="9"/>
  <c r="R30" i="9" s="1"/>
  <c r="O31" i="9"/>
  <c r="R31" i="9" s="1"/>
  <c r="O32" i="9"/>
  <c r="R32" i="9" s="1"/>
  <c r="O33" i="9"/>
  <c r="R33" i="9" s="1"/>
  <c r="O34" i="9"/>
  <c r="R34" i="9" s="1"/>
  <c r="N5" i="9"/>
  <c r="N6" i="9"/>
  <c r="Q6" i="9" s="1"/>
  <c r="N7" i="9"/>
  <c r="Q7" i="9" s="1"/>
  <c r="N8" i="9"/>
  <c r="Q8" i="9" s="1"/>
  <c r="N9" i="9"/>
  <c r="Q9" i="9" s="1"/>
  <c r="N10" i="9"/>
  <c r="Q10" i="9" s="1"/>
  <c r="N11" i="9"/>
  <c r="Q11" i="9" s="1"/>
  <c r="N12" i="9"/>
  <c r="Q12" i="9" s="1"/>
  <c r="N13" i="9"/>
  <c r="Q13" i="9" s="1"/>
  <c r="N14" i="9"/>
  <c r="Q14" i="9" s="1"/>
  <c r="N15" i="9"/>
  <c r="Q15" i="9" s="1"/>
  <c r="N16" i="9"/>
  <c r="Q16" i="9" s="1"/>
  <c r="N17" i="9"/>
  <c r="Q17" i="9" s="1"/>
  <c r="N18" i="9"/>
  <c r="Q18" i="9" s="1"/>
  <c r="N19" i="9"/>
  <c r="Q19" i="9" s="1"/>
  <c r="N20" i="9"/>
  <c r="Q20" i="9" s="1"/>
  <c r="N21" i="9"/>
  <c r="Q21" i="9" s="1"/>
  <c r="N22" i="9"/>
  <c r="Q22" i="9" s="1"/>
  <c r="N23" i="9"/>
  <c r="Q23" i="9" s="1"/>
  <c r="N24" i="9"/>
  <c r="Q24" i="9" s="1"/>
  <c r="N25" i="9"/>
  <c r="Q25" i="9" s="1"/>
  <c r="N26" i="9"/>
  <c r="Q26" i="9" s="1"/>
  <c r="N27" i="9"/>
  <c r="Q27" i="9" s="1"/>
  <c r="N28" i="9"/>
  <c r="Q28" i="9" s="1"/>
  <c r="N29" i="9"/>
  <c r="Q29" i="9" s="1"/>
  <c r="N30" i="9"/>
  <c r="Q30" i="9" s="1"/>
  <c r="N31" i="9"/>
  <c r="Q31" i="9" s="1"/>
  <c r="N32" i="9"/>
  <c r="Q32" i="9" s="1"/>
  <c r="N33" i="9"/>
  <c r="Q33" i="9" s="1"/>
  <c r="N34" i="9"/>
  <c r="Q34" i="9" s="1"/>
  <c r="O4" i="9"/>
  <c r="N4" i="9"/>
  <c r="D12" i="39"/>
  <c r="E12" i="39" s="1"/>
  <c r="D12" i="38"/>
  <c r="E12" i="38" s="1"/>
  <c r="D12" i="37"/>
  <c r="E12" i="37" s="1"/>
  <c r="D12" i="36"/>
  <c r="E12" i="36" s="1"/>
  <c r="D12" i="35"/>
  <c r="E12" i="35" s="1"/>
  <c r="E12" i="34"/>
  <c r="D12" i="34"/>
  <c r="D12" i="33"/>
  <c r="E12" i="33" s="1"/>
  <c r="D12" i="32"/>
  <c r="E12" i="32" s="1"/>
  <c r="D12" i="31"/>
  <c r="E12" i="31" s="1"/>
  <c r="E12" i="30"/>
  <c r="D12" i="30"/>
  <c r="D12" i="29"/>
  <c r="E12" i="29" s="1"/>
  <c r="D12" i="28"/>
  <c r="E12" i="28" s="1"/>
  <c r="D12" i="27"/>
  <c r="E12" i="27" s="1"/>
  <c r="D12" i="26"/>
  <c r="E12" i="26" s="1"/>
  <c r="D12" i="25"/>
  <c r="E12" i="25" s="1"/>
  <c r="D12" i="24"/>
  <c r="E12" i="24" s="1"/>
  <c r="E12" i="23"/>
  <c r="D12" i="23"/>
  <c r="D12" i="22"/>
  <c r="E12" i="22" s="1"/>
  <c r="D12" i="21"/>
  <c r="E12" i="21" s="1"/>
  <c r="D12" i="20"/>
  <c r="E12" i="20" s="1"/>
  <c r="D12" i="19"/>
  <c r="E12" i="19" s="1"/>
  <c r="D12" i="18"/>
  <c r="E12" i="18" s="1"/>
  <c r="E12" i="17"/>
  <c r="D12" i="17"/>
  <c r="E12" i="16"/>
  <c r="D12" i="16"/>
  <c r="D12" i="15"/>
  <c r="E12" i="15" s="1"/>
  <c r="D12" i="14"/>
  <c r="E12" i="14" s="1"/>
  <c r="D12" i="13"/>
  <c r="E12" i="13" s="1"/>
  <c r="E12" i="12"/>
  <c r="D12" i="12"/>
  <c r="D12" i="11"/>
  <c r="E12" i="11" s="1"/>
  <c r="E12" i="6"/>
  <c r="D12" i="6"/>
  <c r="D12" i="2"/>
  <c r="E12" i="2" s="1"/>
  <c r="D12" i="3"/>
  <c r="E12" i="3" s="1"/>
  <c r="N13" i="39"/>
  <c r="N12" i="39"/>
  <c r="N11" i="39"/>
  <c r="N10" i="39"/>
  <c r="N9" i="39"/>
  <c r="N8" i="39"/>
  <c r="N7" i="39"/>
  <c r="N6" i="39"/>
  <c r="N5" i="39"/>
  <c r="N4" i="39"/>
  <c r="N3" i="39"/>
  <c r="N13" i="38"/>
  <c r="N12" i="38"/>
  <c r="N11" i="38"/>
  <c r="N10" i="38"/>
  <c r="N9" i="38"/>
  <c r="N8" i="38"/>
  <c r="N7" i="38"/>
  <c r="N6" i="38"/>
  <c r="N5" i="38"/>
  <c r="N4" i="38"/>
  <c r="N3" i="38"/>
  <c r="N13" i="37"/>
  <c r="N12" i="37"/>
  <c r="N11" i="37"/>
  <c r="N10" i="37"/>
  <c r="N9" i="37"/>
  <c r="N8" i="37"/>
  <c r="N7" i="37"/>
  <c r="N6" i="37"/>
  <c r="N5" i="37"/>
  <c r="N4" i="37"/>
  <c r="N3" i="37"/>
  <c r="N13" i="36"/>
  <c r="N12" i="36"/>
  <c r="N11" i="36"/>
  <c r="N10" i="36"/>
  <c r="N9" i="36"/>
  <c r="N8" i="36"/>
  <c r="N7" i="36"/>
  <c r="N6" i="36"/>
  <c r="N5" i="36"/>
  <c r="N4" i="36"/>
  <c r="N3" i="36"/>
  <c r="N13" i="35"/>
  <c r="N12" i="35"/>
  <c r="N11" i="35"/>
  <c r="N10" i="35"/>
  <c r="N9" i="35"/>
  <c r="N8" i="35"/>
  <c r="N7" i="35"/>
  <c r="N6" i="35"/>
  <c r="N5" i="35"/>
  <c r="N4" i="35"/>
  <c r="N3" i="35"/>
  <c r="N13" i="34"/>
  <c r="N12" i="34"/>
  <c r="N11" i="34"/>
  <c r="N10" i="34"/>
  <c r="N9" i="34"/>
  <c r="N8" i="34"/>
  <c r="N7" i="34"/>
  <c r="N6" i="34"/>
  <c r="N5" i="34"/>
  <c r="N4" i="34"/>
  <c r="N3" i="34"/>
  <c r="N13" i="33"/>
  <c r="N12" i="33"/>
  <c r="N11" i="33"/>
  <c r="N10" i="33"/>
  <c r="N9" i="33"/>
  <c r="N8" i="33"/>
  <c r="N7" i="33"/>
  <c r="N6" i="33"/>
  <c r="N5" i="33"/>
  <c r="N4" i="33"/>
  <c r="N3" i="33"/>
  <c r="N13" i="32"/>
  <c r="N12" i="32"/>
  <c r="N11" i="32"/>
  <c r="N10" i="32"/>
  <c r="N9" i="32"/>
  <c r="N8" i="32"/>
  <c r="N7" i="32"/>
  <c r="N6" i="32"/>
  <c r="N5" i="32"/>
  <c r="N4" i="32"/>
  <c r="N3" i="32"/>
  <c r="N13" i="31"/>
  <c r="N12" i="31"/>
  <c r="N11" i="31"/>
  <c r="N10" i="31"/>
  <c r="N9" i="31"/>
  <c r="N8" i="31"/>
  <c r="N7" i="31"/>
  <c r="N6" i="31"/>
  <c r="N5" i="31"/>
  <c r="N4" i="31"/>
  <c r="N3" i="31"/>
  <c r="N13" i="30"/>
  <c r="N12" i="30"/>
  <c r="N11" i="30"/>
  <c r="N10" i="30"/>
  <c r="N9" i="30"/>
  <c r="N8" i="30"/>
  <c r="N7" i="30"/>
  <c r="N6" i="30"/>
  <c r="N5" i="30"/>
  <c r="N4" i="30"/>
  <c r="N3" i="30"/>
  <c r="N13" i="29"/>
  <c r="N12" i="29"/>
  <c r="N11" i="29"/>
  <c r="N10" i="29"/>
  <c r="N9" i="29"/>
  <c r="N8" i="29"/>
  <c r="N7" i="29"/>
  <c r="N6" i="29"/>
  <c r="N5" i="29"/>
  <c r="N4" i="29"/>
  <c r="N3" i="29"/>
  <c r="N13" i="28"/>
  <c r="N12" i="28"/>
  <c r="N11" i="28"/>
  <c r="N10" i="28"/>
  <c r="N9" i="28"/>
  <c r="N8" i="28"/>
  <c r="N7" i="28"/>
  <c r="N6" i="28"/>
  <c r="N5" i="28"/>
  <c r="N4" i="28"/>
  <c r="N3" i="28"/>
  <c r="N13" i="27"/>
  <c r="N12" i="27"/>
  <c r="N11" i="27"/>
  <c r="N10" i="27"/>
  <c r="N9" i="27"/>
  <c r="N8" i="27"/>
  <c r="N7" i="27"/>
  <c r="N6" i="27"/>
  <c r="N5" i="27"/>
  <c r="N4" i="27"/>
  <c r="N3" i="27"/>
  <c r="N13" i="26"/>
  <c r="N12" i="26"/>
  <c r="N11" i="26"/>
  <c r="N10" i="26"/>
  <c r="N9" i="26"/>
  <c r="N8" i="26"/>
  <c r="N7" i="26"/>
  <c r="N6" i="26"/>
  <c r="N5" i="26"/>
  <c r="N4" i="26"/>
  <c r="N3" i="26"/>
  <c r="N13" i="25"/>
  <c r="N12" i="25"/>
  <c r="N11" i="25"/>
  <c r="N10" i="25"/>
  <c r="N9" i="25"/>
  <c r="N8" i="25"/>
  <c r="N7" i="25"/>
  <c r="N6" i="25"/>
  <c r="N5" i="25"/>
  <c r="N4" i="25"/>
  <c r="N3" i="25"/>
  <c r="N13" i="24"/>
  <c r="N12" i="24"/>
  <c r="N11" i="24"/>
  <c r="N10" i="24"/>
  <c r="N9" i="24"/>
  <c r="N8" i="24"/>
  <c r="N7" i="24"/>
  <c r="N6" i="24"/>
  <c r="N5" i="24"/>
  <c r="N4" i="24"/>
  <c r="N3" i="24"/>
  <c r="N13" i="23"/>
  <c r="N12" i="23"/>
  <c r="N11" i="23"/>
  <c r="N10" i="23"/>
  <c r="N9" i="23"/>
  <c r="N8" i="23"/>
  <c r="N7" i="23"/>
  <c r="N6" i="23"/>
  <c r="N5" i="23"/>
  <c r="N4" i="23"/>
  <c r="N3" i="23"/>
  <c r="N13" i="22"/>
  <c r="N12" i="22"/>
  <c r="N11" i="22"/>
  <c r="N10" i="22"/>
  <c r="N9" i="22"/>
  <c r="N8" i="22"/>
  <c r="N7" i="22"/>
  <c r="N6" i="22"/>
  <c r="N5" i="22"/>
  <c r="N4" i="22"/>
  <c r="N3" i="22"/>
  <c r="N13" i="21"/>
  <c r="N12" i="21"/>
  <c r="N11" i="21"/>
  <c r="N10" i="21"/>
  <c r="N9" i="21"/>
  <c r="N8" i="21"/>
  <c r="N7" i="21"/>
  <c r="N6" i="21"/>
  <c r="N5" i="21"/>
  <c r="N4" i="21"/>
  <c r="N3" i="21"/>
  <c r="N13" i="20"/>
  <c r="N12" i="20"/>
  <c r="N11" i="20"/>
  <c r="N10" i="20"/>
  <c r="N9" i="20"/>
  <c r="N8" i="20"/>
  <c r="N7" i="20"/>
  <c r="N6" i="20"/>
  <c r="N5" i="20"/>
  <c r="N4" i="20"/>
  <c r="N3" i="20"/>
  <c r="N13" i="19"/>
  <c r="N12" i="19"/>
  <c r="N11" i="19"/>
  <c r="N10" i="19"/>
  <c r="N9" i="19"/>
  <c r="N8" i="19"/>
  <c r="N7" i="19"/>
  <c r="N6" i="19"/>
  <c r="N5" i="19"/>
  <c r="N4" i="19"/>
  <c r="N3" i="19"/>
  <c r="N13" i="18"/>
  <c r="N12" i="18"/>
  <c r="N11" i="18"/>
  <c r="N10" i="18"/>
  <c r="N9" i="18"/>
  <c r="N8" i="18"/>
  <c r="N7" i="18"/>
  <c r="N6" i="18"/>
  <c r="N5" i="18"/>
  <c r="N4" i="18"/>
  <c r="N3" i="18"/>
  <c r="N13" i="17"/>
  <c r="N12" i="17"/>
  <c r="N11" i="17"/>
  <c r="N10" i="17"/>
  <c r="N9" i="17"/>
  <c r="N8" i="17"/>
  <c r="N7" i="17"/>
  <c r="N6" i="17"/>
  <c r="N5" i="17"/>
  <c r="N4" i="17"/>
  <c r="N3" i="17"/>
  <c r="N13" i="16"/>
  <c r="N12" i="16"/>
  <c r="N11" i="16"/>
  <c r="N10" i="16"/>
  <c r="N9" i="16"/>
  <c r="N8" i="16"/>
  <c r="N7" i="16"/>
  <c r="N6" i="16"/>
  <c r="N5" i="16"/>
  <c r="N4" i="16"/>
  <c r="N3" i="16"/>
  <c r="N13" i="15"/>
  <c r="N12" i="15"/>
  <c r="N11" i="15"/>
  <c r="N10" i="15"/>
  <c r="N9" i="15"/>
  <c r="N8" i="15"/>
  <c r="N7" i="15"/>
  <c r="N6" i="15"/>
  <c r="N5" i="15"/>
  <c r="N4" i="15"/>
  <c r="N3" i="15"/>
  <c r="N13" i="14"/>
  <c r="N12" i="14"/>
  <c r="N11" i="14"/>
  <c r="N10" i="14"/>
  <c r="N9" i="14"/>
  <c r="N8" i="14"/>
  <c r="N7" i="14"/>
  <c r="N6" i="14"/>
  <c r="N5" i="14"/>
  <c r="N4" i="14"/>
  <c r="N3" i="14"/>
  <c r="N13" i="13"/>
  <c r="N12" i="13"/>
  <c r="N11" i="13"/>
  <c r="N10" i="13"/>
  <c r="N9" i="13"/>
  <c r="N8" i="13"/>
  <c r="N7" i="13"/>
  <c r="N6" i="13"/>
  <c r="N5" i="13"/>
  <c r="N4" i="13"/>
  <c r="N3" i="13"/>
  <c r="N13" i="12"/>
  <c r="N12" i="12"/>
  <c r="N11" i="12"/>
  <c r="N10" i="12"/>
  <c r="N9" i="12"/>
  <c r="N8" i="12"/>
  <c r="N7" i="12"/>
  <c r="N6" i="12"/>
  <c r="N5" i="12"/>
  <c r="N4" i="12"/>
  <c r="N3" i="12"/>
  <c r="N13" i="11"/>
  <c r="N12" i="11"/>
  <c r="N11" i="11"/>
  <c r="N10" i="11"/>
  <c r="N9" i="11"/>
  <c r="N8" i="11"/>
  <c r="N7" i="11"/>
  <c r="N6" i="11"/>
  <c r="N5" i="11"/>
  <c r="N4" i="11"/>
  <c r="N3" i="11"/>
  <c r="N13" i="6"/>
  <c r="N12" i="6"/>
  <c r="N11" i="6"/>
  <c r="N10" i="6"/>
  <c r="N9" i="6"/>
  <c r="N8" i="6"/>
  <c r="N7" i="6"/>
  <c r="N6" i="6"/>
  <c r="N5" i="6"/>
  <c r="N4" i="6"/>
  <c r="N3" i="6"/>
  <c r="N13" i="2"/>
  <c r="N12" i="2"/>
  <c r="N11" i="2"/>
  <c r="N10" i="2"/>
  <c r="N9" i="2"/>
  <c r="N8" i="2"/>
  <c r="N7" i="2"/>
  <c r="N6" i="2"/>
  <c r="N5" i="2"/>
  <c r="N3" i="2"/>
  <c r="N3" i="3"/>
  <c r="N4" i="3"/>
  <c r="N5" i="3"/>
  <c r="D27" i="10"/>
  <c r="D28" i="10"/>
  <c r="D29" i="10"/>
  <c r="D31" i="10"/>
  <c r="D32" i="10"/>
  <c r="D33" i="10"/>
  <c r="D34" i="10"/>
  <c r="D35" i="10"/>
  <c r="D36" i="10"/>
  <c r="D38" i="10"/>
  <c r="D24" i="39"/>
  <c r="E24" i="39" s="1"/>
  <c r="D22" i="39"/>
  <c r="E22" i="39" s="1"/>
  <c r="D21" i="39"/>
  <c r="E21" i="39" s="1"/>
  <c r="D20" i="39"/>
  <c r="E20" i="39" s="1"/>
  <c r="D19" i="39"/>
  <c r="E19" i="39" s="1"/>
  <c r="D18" i="39"/>
  <c r="E18" i="39" s="1"/>
  <c r="D17" i="39"/>
  <c r="E17" i="39" s="1"/>
  <c r="D16" i="39"/>
  <c r="E16" i="39" s="1"/>
  <c r="D15" i="39"/>
  <c r="E15" i="39" s="1"/>
  <c r="D14" i="39"/>
  <c r="E14" i="39" s="1"/>
  <c r="E13" i="39"/>
  <c r="D13" i="39"/>
  <c r="D11" i="39"/>
  <c r="E11" i="39" s="1"/>
  <c r="D10" i="39"/>
  <c r="E10" i="39" s="1"/>
  <c r="D9" i="39"/>
  <c r="E9" i="39" s="1"/>
  <c r="D8" i="39"/>
  <c r="E8" i="39" s="1"/>
  <c r="D7" i="39"/>
  <c r="E7" i="39" s="1"/>
  <c r="D6" i="39"/>
  <c r="E6" i="39" s="1"/>
  <c r="D5" i="39"/>
  <c r="E5" i="39" s="1"/>
  <c r="D4" i="39"/>
  <c r="E4" i="39" s="1"/>
  <c r="E3" i="39"/>
  <c r="D3" i="39"/>
  <c r="D2" i="39"/>
  <c r="E2" i="39" s="1"/>
  <c r="D24" i="38"/>
  <c r="E24" i="38" s="1"/>
  <c r="D22" i="38"/>
  <c r="E22" i="38" s="1"/>
  <c r="D21" i="38"/>
  <c r="E21" i="38" s="1"/>
  <c r="D20" i="38"/>
  <c r="E20" i="38" s="1"/>
  <c r="D19" i="38"/>
  <c r="E19" i="38" s="1"/>
  <c r="D18" i="38"/>
  <c r="E18" i="38" s="1"/>
  <c r="D17" i="38"/>
  <c r="E17" i="38" s="1"/>
  <c r="D16" i="38"/>
  <c r="E16" i="38" s="1"/>
  <c r="D15" i="38"/>
  <c r="E15" i="38" s="1"/>
  <c r="D14" i="38"/>
  <c r="E14" i="38" s="1"/>
  <c r="D13" i="38"/>
  <c r="E13" i="38" s="1"/>
  <c r="D11" i="38"/>
  <c r="E11" i="38" s="1"/>
  <c r="D10" i="38"/>
  <c r="E10" i="38" s="1"/>
  <c r="D9" i="38"/>
  <c r="E9" i="38" s="1"/>
  <c r="D8" i="38"/>
  <c r="E8" i="38" s="1"/>
  <c r="D7" i="38"/>
  <c r="E7" i="38" s="1"/>
  <c r="D6" i="38"/>
  <c r="E6" i="38" s="1"/>
  <c r="D5" i="38"/>
  <c r="E5" i="38" s="1"/>
  <c r="D4" i="38"/>
  <c r="E4" i="38" s="1"/>
  <c r="D3" i="38"/>
  <c r="E3" i="38" s="1"/>
  <c r="D2" i="38"/>
  <c r="E2" i="38" s="1"/>
  <c r="D24" i="37"/>
  <c r="E24" i="37" s="1"/>
  <c r="D22" i="37"/>
  <c r="E22" i="37" s="1"/>
  <c r="D21" i="37"/>
  <c r="E21" i="37" s="1"/>
  <c r="D20" i="37"/>
  <c r="E20" i="37" s="1"/>
  <c r="D19" i="37"/>
  <c r="E19" i="37" s="1"/>
  <c r="D18" i="37"/>
  <c r="E18" i="37" s="1"/>
  <c r="D17" i="37"/>
  <c r="E17" i="37" s="1"/>
  <c r="D16" i="37"/>
  <c r="E16" i="37" s="1"/>
  <c r="D15" i="37"/>
  <c r="E15" i="37" s="1"/>
  <c r="D14" i="37"/>
  <c r="E14" i="37" s="1"/>
  <c r="D13" i="37"/>
  <c r="E13" i="37" s="1"/>
  <c r="D11" i="37"/>
  <c r="E11" i="37" s="1"/>
  <c r="D10" i="37"/>
  <c r="E10" i="37" s="1"/>
  <c r="D9" i="37"/>
  <c r="E9" i="37" s="1"/>
  <c r="D8" i="37"/>
  <c r="E8" i="37" s="1"/>
  <c r="D7" i="37"/>
  <c r="E7" i="37" s="1"/>
  <c r="D6" i="37"/>
  <c r="E6" i="37" s="1"/>
  <c r="D5" i="37"/>
  <c r="E5" i="37" s="1"/>
  <c r="D4" i="37"/>
  <c r="E4" i="37" s="1"/>
  <c r="D3" i="37"/>
  <c r="E3" i="37" s="1"/>
  <c r="D2" i="37"/>
  <c r="E2" i="37" s="1"/>
  <c r="D24" i="36"/>
  <c r="E24" i="36" s="1"/>
  <c r="D22" i="36"/>
  <c r="E22" i="36" s="1"/>
  <c r="D21" i="36"/>
  <c r="E21" i="36" s="1"/>
  <c r="D20" i="36"/>
  <c r="E20" i="36" s="1"/>
  <c r="D19" i="36"/>
  <c r="E19" i="36" s="1"/>
  <c r="D18" i="36"/>
  <c r="E18" i="36" s="1"/>
  <c r="D17" i="36"/>
  <c r="E17" i="36" s="1"/>
  <c r="D16" i="36"/>
  <c r="E16" i="36" s="1"/>
  <c r="D15" i="36"/>
  <c r="E15" i="36" s="1"/>
  <c r="E14" i="36"/>
  <c r="D14" i="36"/>
  <c r="D13" i="36"/>
  <c r="E13" i="36" s="1"/>
  <c r="D11" i="36"/>
  <c r="E11" i="36" s="1"/>
  <c r="D10" i="36"/>
  <c r="E10" i="36" s="1"/>
  <c r="D9" i="36"/>
  <c r="E9" i="36" s="1"/>
  <c r="D8" i="36"/>
  <c r="E8" i="36" s="1"/>
  <c r="D7" i="36"/>
  <c r="E7" i="36" s="1"/>
  <c r="D6" i="36"/>
  <c r="E6" i="36" s="1"/>
  <c r="D5" i="36"/>
  <c r="E5" i="36" s="1"/>
  <c r="E4" i="36"/>
  <c r="D4" i="36"/>
  <c r="D3" i="36"/>
  <c r="E3" i="36" s="1"/>
  <c r="D2" i="36"/>
  <c r="E2" i="36" s="1"/>
  <c r="D24" i="35"/>
  <c r="E24" i="35" s="1"/>
  <c r="D22" i="35"/>
  <c r="E22" i="35" s="1"/>
  <c r="D21" i="35"/>
  <c r="E21" i="35" s="1"/>
  <c r="D20" i="35"/>
  <c r="E20" i="35" s="1"/>
  <c r="D19" i="35"/>
  <c r="E19" i="35" s="1"/>
  <c r="D18" i="35"/>
  <c r="E18" i="35" s="1"/>
  <c r="D17" i="35"/>
  <c r="E17" i="35" s="1"/>
  <c r="D16" i="35"/>
  <c r="E16" i="35" s="1"/>
  <c r="D15" i="35"/>
  <c r="E15" i="35" s="1"/>
  <c r="D14" i="35"/>
  <c r="E14" i="35" s="1"/>
  <c r="E13" i="35"/>
  <c r="D13" i="35"/>
  <c r="D11" i="35"/>
  <c r="E11" i="35" s="1"/>
  <c r="D10" i="35"/>
  <c r="E10" i="35" s="1"/>
  <c r="D9" i="35"/>
  <c r="E9" i="35" s="1"/>
  <c r="D8" i="35"/>
  <c r="E8" i="35" s="1"/>
  <c r="D7" i="35"/>
  <c r="E7" i="35" s="1"/>
  <c r="D6" i="35"/>
  <c r="E6" i="35" s="1"/>
  <c r="D5" i="35"/>
  <c r="E5" i="35" s="1"/>
  <c r="D4" i="35"/>
  <c r="E4" i="35" s="1"/>
  <c r="E3" i="35"/>
  <c r="D3" i="35"/>
  <c r="D2" i="35"/>
  <c r="E2" i="35" s="1"/>
  <c r="D24" i="34"/>
  <c r="E24" i="34" s="1"/>
  <c r="D22" i="34"/>
  <c r="E22" i="34" s="1"/>
  <c r="D21" i="34"/>
  <c r="E21" i="34" s="1"/>
  <c r="D20" i="34"/>
  <c r="E20" i="34" s="1"/>
  <c r="D19" i="34"/>
  <c r="E19" i="34" s="1"/>
  <c r="D18" i="34"/>
  <c r="E18" i="34" s="1"/>
  <c r="D17" i="34"/>
  <c r="E17" i="34" s="1"/>
  <c r="D16" i="34"/>
  <c r="E16" i="34" s="1"/>
  <c r="D15" i="34"/>
  <c r="E15" i="34" s="1"/>
  <c r="D14" i="34"/>
  <c r="E14" i="34" s="1"/>
  <c r="D13" i="34"/>
  <c r="E13" i="34" s="1"/>
  <c r="D11" i="34"/>
  <c r="E11" i="34" s="1"/>
  <c r="D10" i="34"/>
  <c r="E10" i="34" s="1"/>
  <c r="D9" i="34"/>
  <c r="E9" i="34" s="1"/>
  <c r="D8" i="34"/>
  <c r="E8" i="34" s="1"/>
  <c r="D7" i="34"/>
  <c r="E7" i="34" s="1"/>
  <c r="D6" i="34"/>
  <c r="E6" i="34" s="1"/>
  <c r="D5" i="34"/>
  <c r="E5" i="34" s="1"/>
  <c r="D4" i="34"/>
  <c r="E4" i="34" s="1"/>
  <c r="D3" i="34"/>
  <c r="E3" i="34" s="1"/>
  <c r="D2" i="34"/>
  <c r="E2" i="34" s="1"/>
  <c r="D24" i="33"/>
  <c r="E24" i="33" s="1"/>
  <c r="D22" i="33"/>
  <c r="E22" i="33" s="1"/>
  <c r="D21" i="33"/>
  <c r="E21" i="33" s="1"/>
  <c r="D20" i="33"/>
  <c r="E20" i="33" s="1"/>
  <c r="D19" i="33"/>
  <c r="E19" i="33" s="1"/>
  <c r="D18" i="33"/>
  <c r="E18" i="33" s="1"/>
  <c r="D17" i="33"/>
  <c r="E17" i="33" s="1"/>
  <c r="D16" i="33"/>
  <c r="E16" i="33" s="1"/>
  <c r="D15" i="33"/>
  <c r="E15" i="33" s="1"/>
  <c r="D14" i="33"/>
  <c r="E14" i="33" s="1"/>
  <c r="D13" i="33"/>
  <c r="E13" i="33" s="1"/>
  <c r="D11" i="33"/>
  <c r="E11" i="33" s="1"/>
  <c r="D10" i="33"/>
  <c r="E10" i="33" s="1"/>
  <c r="D9" i="33"/>
  <c r="E9" i="33" s="1"/>
  <c r="D8" i="33"/>
  <c r="E8" i="33" s="1"/>
  <c r="E7" i="33"/>
  <c r="D7" i="33"/>
  <c r="D6" i="33"/>
  <c r="E6" i="33" s="1"/>
  <c r="D5" i="33"/>
  <c r="E5" i="33" s="1"/>
  <c r="D4" i="33"/>
  <c r="E4" i="33" s="1"/>
  <c r="D3" i="33"/>
  <c r="E3" i="33" s="1"/>
  <c r="D2" i="33"/>
  <c r="E2" i="33" s="1"/>
  <c r="D24" i="32"/>
  <c r="E24" i="32" s="1"/>
  <c r="D22" i="32"/>
  <c r="E22" i="32" s="1"/>
  <c r="D21" i="32"/>
  <c r="E21" i="32" s="1"/>
  <c r="D20" i="32"/>
  <c r="E20" i="32" s="1"/>
  <c r="D19" i="32"/>
  <c r="E19" i="32" s="1"/>
  <c r="D18" i="32"/>
  <c r="E18" i="32" s="1"/>
  <c r="D17" i="32"/>
  <c r="E17" i="32" s="1"/>
  <c r="D16" i="32"/>
  <c r="E16" i="32" s="1"/>
  <c r="D15" i="32"/>
  <c r="E15" i="32" s="1"/>
  <c r="D14" i="32"/>
  <c r="E14" i="32" s="1"/>
  <c r="D13" i="32"/>
  <c r="E13" i="32" s="1"/>
  <c r="D11" i="32"/>
  <c r="E11" i="32" s="1"/>
  <c r="D10" i="32"/>
  <c r="E10" i="32" s="1"/>
  <c r="D9" i="32"/>
  <c r="E9" i="32" s="1"/>
  <c r="D8" i="32"/>
  <c r="E8" i="32" s="1"/>
  <c r="D7" i="32"/>
  <c r="E7" i="32" s="1"/>
  <c r="D6" i="32"/>
  <c r="E6" i="32" s="1"/>
  <c r="D5" i="32"/>
  <c r="E5" i="32" s="1"/>
  <c r="D4" i="32"/>
  <c r="E4" i="32" s="1"/>
  <c r="D3" i="32"/>
  <c r="E3" i="32" s="1"/>
  <c r="D2" i="32"/>
  <c r="E2" i="32" s="1"/>
  <c r="E24" i="31"/>
  <c r="D24" i="31"/>
  <c r="D22" i="31"/>
  <c r="E22" i="31" s="1"/>
  <c r="D21" i="31"/>
  <c r="E21" i="31" s="1"/>
  <c r="D20" i="31"/>
  <c r="E20" i="31" s="1"/>
  <c r="D19" i="31"/>
  <c r="E19" i="31" s="1"/>
  <c r="D18" i="31"/>
  <c r="E18" i="31" s="1"/>
  <c r="D17" i="31"/>
  <c r="E17" i="31" s="1"/>
  <c r="D16" i="31"/>
  <c r="E16" i="31" s="1"/>
  <c r="D15" i="31"/>
  <c r="E15" i="31" s="1"/>
  <c r="E14" i="31"/>
  <c r="D14" i="31"/>
  <c r="D13" i="31"/>
  <c r="E13" i="31" s="1"/>
  <c r="D11" i="31"/>
  <c r="E11" i="31" s="1"/>
  <c r="D10" i="31"/>
  <c r="E10" i="31" s="1"/>
  <c r="D9" i="31"/>
  <c r="E9" i="31" s="1"/>
  <c r="D8" i="31"/>
  <c r="E8" i="31" s="1"/>
  <c r="D7" i="31"/>
  <c r="E7" i="31" s="1"/>
  <c r="D6" i="31"/>
  <c r="E6" i="31" s="1"/>
  <c r="D5" i="31"/>
  <c r="E5" i="31" s="1"/>
  <c r="E4" i="31"/>
  <c r="D4" i="31"/>
  <c r="D3" i="31"/>
  <c r="E3" i="31" s="1"/>
  <c r="D2" i="31"/>
  <c r="E2" i="31" s="1"/>
  <c r="D24" i="30"/>
  <c r="E24" i="30" s="1"/>
  <c r="D22" i="30"/>
  <c r="E22" i="30" s="1"/>
  <c r="D21" i="30"/>
  <c r="E21" i="30" s="1"/>
  <c r="D20" i="30"/>
  <c r="E20" i="30" s="1"/>
  <c r="D19" i="30"/>
  <c r="E19" i="30" s="1"/>
  <c r="D18" i="30"/>
  <c r="E18" i="30" s="1"/>
  <c r="D17" i="30"/>
  <c r="E17" i="30" s="1"/>
  <c r="D16" i="30"/>
  <c r="E16" i="30" s="1"/>
  <c r="D15" i="30"/>
  <c r="E15" i="30" s="1"/>
  <c r="D14" i="30"/>
  <c r="E14" i="30" s="1"/>
  <c r="D13" i="30"/>
  <c r="E13" i="30" s="1"/>
  <c r="D11" i="30"/>
  <c r="E11" i="30" s="1"/>
  <c r="D10" i="30"/>
  <c r="E10" i="30" s="1"/>
  <c r="D9" i="30"/>
  <c r="E9" i="30" s="1"/>
  <c r="E8" i="30"/>
  <c r="D8" i="30"/>
  <c r="D7" i="30"/>
  <c r="E7" i="30" s="1"/>
  <c r="D6" i="30"/>
  <c r="E6" i="30" s="1"/>
  <c r="D5" i="30"/>
  <c r="E5" i="30" s="1"/>
  <c r="D4" i="30"/>
  <c r="E4" i="30" s="1"/>
  <c r="D3" i="30"/>
  <c r="E3" i="30" s="1"/>
  <c r="D2" i="30"/>
  <c r="E2" i="30" s="1"/>
  <c r="D24" i="29"/>
  <c r="E24" i="29" s="1"/>
  <c r="D22" i="29"/>
  <c r="E22" i="29" s="1"/>
  <c r="D21" i="29"/>
  <c r="E21" i="29" s="1"/>
  <c r="D20" i="29"/>
  <c r="E20" i="29" s="1"/>
  <c r="D19" i="29"/>
  <c r="E19" i="29" s="1"/>
  <c r="D18" i="29"/>
  <c r="E18" i="29" s="1"/>
  <c r="D17" i="29"/>
  <c r="E17" i="29" s="1"/>
  <c r="D16" i="29"/>
  <c r="E16" i="29" s="1"/>
  <c r="D15" i="29"/>
  <c r="E15" i="29" s="1"/>
  <c r="D14" i="29"/>
  <c r="E14" i="29" s="1"/>
  <c r="D13" i="29"/>
  <c r="E13" i="29" s="1"/>
  <c r="D11" i="29"/>
  <c r="E11" i="29" s="1"/>
  <c r="D10" i="29"/>
  <c r="E10" i="29" s="1"/>
  <c r="D9" i="29"/>
  <c r="E9" i="29" s="1"/>
  <c r="D8" i="29"/>
  <c r="E8" i="29" s="1"/>
  <c r="D7" i="29"/>
  <c r="E7" i="29" s="1"/>
  <c r="D6" i="29"/>
  <c r="E6" i="29" s="1"/>
  <c r="D5" i="29"/>
  <c r="E5" i="29" s="1"/>
  <c r="D4" i="29"/>
  <c r="E4" i="29" s="1"/>
  <c r="D3" i="29"/>
  <c r="E3" i="29" s="1"/>
  <c r="D2" i="29"/>
  <c r="E2" i="29" s="1"/>
  <c r="D24" i="28"/>
  <c r="E24" i="28" s="1"/>
  <c r="D22" i="28"/>
  <c r="E22" i="28" s="1"/>
  <c r="D21" i="28"/>
  <c r="E21" i="28" s="1"/>
  <c r="D20" i="28"/>
  <c r="E20" i="28" s="1"/>
  <c r="D19" i="28"/>
  <c r="E19" i="28" s="1"/>
  <c r="D18" i="28"/>
  <c r="E18" i="28" s="1"/>
  <c r="D17" i="28"/>
  <c r="E17" i="28" s="1"/>
  <c r="D16" i="28"/>
  <c r="E16" i="28" s="1"/>
  <c r="D15" i="28"/>
  <c r="E15" i="28" s="1"/>
  <c r="D14" i="28"/>
  <c r="E14" i="28" s="1"/>
  <c r="D13" i="28"/>
  <c r="E13" i="28" s="1"/>
  <c r="D11" i="28"/>
  <c r="E11" i="28" s="1"/>
  <c r="D10" i="28"/>
  <c r="E10" i="28" s="1"/>
  <c r="D9" i="28"/>
  <c r="E9" i="28" s="1"/>
  <c r="D8" i="28"/>
  <c r="E8" i="28" s="1"/>
  <c r="D7" i="28"/>
  <c r="E7" i="28" s="1"/>
  <c r="D6" i="28"/>
  <c r="E6" i="28" s="1"/>
  <c r="D5" i="28"/>
  <c r="E5" i="28" s="1"/>
  <c r="D4" i="28"/>
  <c r="E4" i="28" s="1"/>
  <c r="D3" i="28"/>
  <c r="E3" i="28" s="1"/>
  <c r="D2" i="28"/>
  <c r="E2" i="28" s="1"/>
  <c r="D24" i="27"/>
  <c r="E24" i="27" s="1"/>
  <c r="D22" i="27"/>
  <c r="E22" i="27" s="1"/>
  <c r="D21" i="27"/>
  <c r="E21" i="27" s="1"/>
  <c r="D20" i="27"/>
  <c r="E20" i="27" s="1"/>
  <c r="D19" i="27"/>
  <c r="E19" i="27" s="1"/>
  <c r="D18" i="27"/>
  <c r="E18" i="27" s="1"/>
  <c r="D17" i="27"/>
  <c r="E17" i="27" s="1"/>
  <c r="D16" i="27"/>
  <c r="E16" i="27" s="1"/>
  <c r="D15" i="27"/>
  <c r="E15" i="27" s="1"/>
  <c r="D14" i="27"/>
  <c r="E14" i="27" s="1"/>
  <c r="D13" i="27"/>
  <c r="E13" i="27" s="1"/>
  <c r="D11" i="27"/>
  <c r="E11" i="27" s="1"/>
  <c r="D10" i="27"/>
  <c r="E10" i="27" s="1"/>
  <c r="D9" i="27"/>
  <c r="E9" i="27" s="1"/>
  <c r="D8" i="27"/>
  <c r="E8" i="27" s="1"/>
  <c r="D7" i="27"/>
  <c r="E7" i="27" s="1"/>
  <c r="D6" i="27"/>
  <c r="E6" i="27" s="1"/>
  <c r="D5" i="27"/>
  <c r="E5" i="27" s="1"/>
  <c r="D4" i="27"/>
  <c r="E4" i="27" s="1"/>
  <c r="D3" i="27"/>
  <c r="E3" i="27" s="1"/>
  <c r="D2" i="27"/>
  <c r="E2" i="27" s="1"/>
  <c r="D24" i="26"/>
  <c r="E24" i="26" s="1"/>
  <c r="D22" i="26"/>
  <c r="E22" i="26" s="1"/>
  <c r="D21" i="26"/>
  <c r="E21" i="26" s="1"/>
  <c r="D20" i="26"/>
  <c r="E20" i="26" s="1"/>
  <c r="D19" i="26"/>
  <c r="E19" i="26" s="1"/>
  <c r="D18" i="26"/>
  <c r="E18" i="26" s="1"/>
  <c r="D17" i="26"/>
  <c r="E17" i="26" s="1"/>
  <c r="D16" i="26"/>
  <c r="E16" i="26" s="1"/>
  <c r="D15" i="26"/>
  <c r="E15" i="26" s="1"/>
  <c r="D14" i="26"/>
  <c r="E14" i="26" s="1"/>
  <c r="E13" i="26"/>
  <c r="D13" i="26"/>
  <c r="D11" i="26"/>
  <c r="E11" i="26" s="1"/>
  <c r="D10" i="26"/>
  <c r="E10" i="26" s="1"/>
  <c r="D9" i="26"/>
  <c r="E9" i="26" s="1"/>
  <c r="D8" i="26"/>
  <c r="E8" i="26" s="1"/>
  <c r="D7" i="26"/>
  <c r="E7" i="26" s="1"/>
  <c r="D6" i="26"/>
  <c r="E6" i="26" s="1"/>
  <c r="D5" i="26"/>
  <c r="E5" i="26" s="1"/>
  <c r="D4" i="26"/>
  <c r="E4" i="26" s="1"/>
  <c r="E3" i="26"/>
  <c r="D3" i="26"/>
  <c r="D2" i="26"/>
  <c r="E2" i="26" s="1"/>
  <c r="D24" i="25"/>
  <c r="E24" i="25" s="1"/>
  <c r="D22" i="25"/>
  <c r="E22" i="25" s="1"/>
  <c r="D21" i="25"/>
  <c r="E21" i="25" s="1"/>
  <c r="D20" i="25"/>
  <c r="E20" i="25" s="1"/>
  <c r="D19" i="25"/>
  <c r="E19" i="25" s="1"/>
  <c r="D18" i="25"/>
  <c r="E18" i="25" s="1"/>
  <c r="D17" i="25"/>
  <c r="E17" i="25" s="1"/>
  <c r="D16" i="25"/>
  <c r="E16" i="25" s="1"/>
  <c r="D15" i="25"/>
  <c r="E15" i="25" s="1"/>
  <c r="D14" i="25"/>
  <c r="E14" i="25" s="1"/>
  <c r="E13" i="25"/>
  <c r="D13" i="25"/>
  <c r="D11" i="25"/>
  <c r="E11" i="25" s="1"/>
  <c r="D10" i="25"/>
  <c r="E10" i="25" s="1"/>
  <c r="D9" i="25"/>
  <c r="E9" i="25" s="1"/>
  <c r="D8" i="25"/>
  <c r="E8" i="25" s="1"/>
  <c r="D7" i="25"/>
  <c r="E7" i="25" s="1"/>
  <c r="D6" i="25"/>
  <c r="E6" i="25" s="1"/>
  <c r="D5" i="25"/>
  <c r="E5" i="25" s="1"/>
  <c r="D4" i="25"/>
  <c r="E4" i="25" s="1"/>
  <c r="E3" i="25"/>
  <c r="D3" i="25"/>
  <c r="D2" i="25"/>
  <c r="E2" i="25" s="1"/>
  <c r="D24" i="24"/>
  <c r="E24" i="24" s="1"/>
  <c r="D22" i="24"/>
  <c r="E22" i="24" s="1"/>
  <c r="D21" i="24"/>
  <c r="E21" i="24" s="1"/>
  <c r="D20" i="24"/>
  <c r="E20" i="24" s="1"/>
  <c r="D19" i="24"/>
  <c r="E19" i="24" s="1"/>
  <c r="D18" i="24"/>
  <c r="E18" i="24" s="1"/>
  <c r="D17" i="24"/>
  <c r="E17" i="24" s="1"/>
  <c r="D16" i="24"/>
  <c r="E16" i="24" s="1"/>
  <c r="D15" i="24"/>
  <c r="E15" i="24" s="1"/>
  <c r="D14" i="24"/>
  <c r="E14" i="24" s="1"/>
  <c r="D13" i="24"/>
  <c r="E13" i="24" s="1"/>
  <c r="D11" i="24"/>
  <c r="E11" i="24" s="1"/>
  <c r="D10" i="24"/>
  <c r="E10" i="24" s="1"/>
  <c r="D9" i="24"/>
  <c r="E9" i="24" s="1"/>
  <c r="D8" i="24"/>
  <c r="E8" i="24" s="1"/>
  <c r="D7" i="24"/>
  <c r="E7" i="24" s="1"/>
  <c r="D6" i="24"/>
  <c r="E6" i="24" s="1"/>
  <c r="D5" i="24"/>
  <c r="E5" i="24" s="1"/>
  <c r="D4" i="24"/>
  <c r="E4" i="24" s="1"/>
  <c r="D3" i="24"/>
  <c r="E3" i="24" s="1"/>
  <c r="D2" i="24"/>
  <c r="E2" i="24" s="1"/>
  <c r="D24" i="23"/>
  <c r="E24" i="23" s="1"/>
  <c r="D22" i="23"/>
  <c r="E22" i="23" s="1"/>
  <c r="D21" i="23"/>
  <c r="E21" i="23" s="1"/>
  <c r="D20" i="23"/>
  <c r="E20" i="23" s="1"/>
  <c r="D19" i="23"/>
  <c r="E19" i="23" s="1"/>
  <c r="D18" i="23"/>
  <c r="E18" i="23" s="1"/>
  <c r="D17" i="23"/>
  <c r="E17" i="23" s="1"/>
  <c r="D16" i="23"/>
  <c r="E16" i="23" s="1"/>
  <c r="D15" i="23"/>
  <c r="E15" i="23" s="1"/>
  <c r="D14" i="23"/>
  <c r="E14" i="23" s="1"/>
  <c r="E13" i="23"/>
  <c r="D13" i="23"/>
  <c r="D11" i="23"/>
  <c r="E11" i="23" s="1"/>
  <c r="D10" i="23"/>
  <c r="E10" i="23" s="1"/>
  <c r="D9" i="23"/>
  <c r="E9" i="23" s="1"/>
  <c r="D8" i="23"/>
  <c r="E8" i="23" s="1"/>
  <c r="D7" i="23"/>
  <c r="E7" i="23" s="1"/>
  <c r="D6" i="23"/>
  <c r="E6" i="23" s="1"/>
  <c r="D5" i="23"/>
  <c r="E5" i="23" s="1"/>
  <c r="D4" i="23"/>
  <c r="E4" i="23" s="1"/>
  <c r="E3" i="23"/>
  <c r="D3" i="23"/>
  <c r="D2" i="23"/>
  <c r="E2" i="23" s="1"/>
  <c r="D24" i="22"/>
  <c r="E24" i="22" s="1"/>
  <c r="D22" i="22"/>
  <c r="E22" i="22" s="1"/>
  <c r="D21" i="22"/>
  <c r="E21" i="22" s="1"/>
  <c r="D20" i="22"/>
  <c r="E20" i="22" s="1"/>
  <c r="D19" i="22"/>
  <c r="E19" i="22" s="1"/>
  <c r="D18" i="22"/>
  <c r="E18" i="22" s="1"/>
  <c r="D17" i="22"/>
  <c r="E17" i="22" s="1"/>
  <c r="D16" i="22"/>
  <c r="E16" i="22" s="1"/>
  <c r="D15" i="22"/>
  <c r="E15" i="22" s="1"/>
  <c r="D14" i="22"/>
  <c r="E14" i="22" s="1"/>
  <c r="D13" i="22"/>
  <c r="E13" i="22" s="1"/>
  <c r="D11" i="22"/>
  <c r="E11" i="22" s="1"/>
  <c r="D10" i="22"/>
  <c r="E10" i="22" s="1"/>
  <c r="D9" i="22"/>
  <c r="E9" i="22" s="1"/>
  <c r="D8" i="22"/>
  <c r="E8" i="22" s="1"/>
  <c r="D7" i="22"/>
  <c r="E7" i="22" s="1"/>
  <c r="E6" i="22"/>
  <c r="D6" i="22"/>
  <c r="D5" i="22"/>
  <c r="E5" i="22" s="1"/>
  <c r="D4" i="22"/>
  <c r="E4" i="22" s="1"/>
  <c r="D3" i="22"/>
  <c r="E3" i="22" s="1"/>
  <c r="D2" i="22"/>
  <c r="E2" i="22" s="1"/>
  <c r="D24" i="21"/>
  <c r="E24" i="21" s="1"/>
  <c r="D22" i="21"/>
  <c r="E22" i="21" s="1"/>
  <c r="D21" i="21"/>
  <c r="E21" i="21" s="1"/>
  <c r="D20" i="21"/>
  <c r="E20" i="21" s="1"/>
  <c r="D19" i="21"/>
  <c r="E19" i="21" s="1"/>
  <c r="D18" i="21"/>
  <c r="E18" i="21" s="1"/>
  <c r="D17" i="21"/>
  <c r="E17" i="21" s="1"/>
  <c r="D16" i="21"/>
  <c r="E16" i="21" s="1"/>
  <c r="D15" i="21"/>
  <c r="E15" i="21" s="1"/>
  <c r="D14" i="21"/>
  <c r="E14" i="21" s="1"/>
  <c r="E13" i="21"/>
  <c r="D13" i="21"/>
  <c r="D11" i="21"/>
  <c r="E11" i="21" s="1"/>
  <c r="D10" i="21"/>
  <c r="E10" i="21" s="1"/>
  <c r="D9" i="21"/>
  <c r="E9" i="21" s="1"/>
  <c r="D8" i="21"/>
  <c r="E8" i="21" s="1"/>
  <c r="D7" i="21"/>
  <c r="E7" i="21" s="1"/>
  <c r="D6" i="21"/>
  <c r="E6" i="21" s="1"/>
  <c r="D5" i="21"/>
  <c r="E5" i="21" s="1"/>
  <c r="D4" i="21"/>
  <c r="E4" i="21" s="1"/>
  <c r="E3" i="21"/>
  <c r="D3" i="21"/>
  <c r="D2" i="21"/>
  <c r="E2" i="21" s="1"/>
  <c r="D24" i="20"/>
  <c r="E24" i="20" s="1"/>
  <c r="D22" i="20"/>
  <c r="E22" i="20" s="1"/>
  <c r="D21" i="20"/>
  <c r="E21" i="20" s="1"/>
  <c r="D20" i="20"/>
  <c r="E20" i="20" s="1"/>
  <c r="D19" i="20"/>
  <c r="E19" i="20" s="1"/>
  <c r="D18" i="20"/>
  <c r="E18" i="20" s="1"/>
  <c r="D17" i="20"/>
  <c r="E17" i="20" s="1"/>
  <c r="D16" i="20"/>
  <c r="E16" i="20" s="1"/>
  <c r="D15" i="20"/>
  <c r="E15" i="20" s="1"/>
  <c r="D14" i="20"/>
  <c r="E14" i="20" s="1"/>
  <c r="E13" i="20"/>
  <c r="D13" i="20"/>
  <c r="D11" i="20"/>
  <c r="E11" i="20" s="1"/>
  <c r="D10" i="20"/>
  <c r="E10" i="20" s="1"/>
  <c r="D9" i="20"/>
  <c r="E9" i="20" s="1"/>
  <c r="D8" i="20"/>
  <c r="E8" i="20" s="1"/>
  <c r="D7" i="20"/>
  <c r="E7" i="20" s="1"/>
  <c r="D6" i="20"/>
  <c r="E6" i="20" s="1"/>
  <c r="D5" i="20"/>
  <c r="E5" i="20" s="1"/>
  <c r="D4" i="20"/>
  <c r="E4" i="20" s="1"/>
  <c r="E3" i="20"/>
  <c r="D3" i="20"/>
  <c r="D2" i="20"/>
  <c r="E2" i="20" s="1"/>
  <c r="D24" i="19"/>
  <c r="E24" i="19" s="1"/>
  <c r="D22" i="19"/>
  <c r="E22" i="19" s="1"/>
  <c r="D21" i="19"/>
  <c r="E21" i="19" s="1"/>
  <c r="D20" i="19"/>
  <c r="E20" i="19" s="1"/>
  <c r="D19" i="19"/>
  <c r="E19" i="19" s="1"/>
  <c r="D18" i="19"/>
  <c r="E18" i="19" s="1"/>
  <c r="D17" i="19"/>
  <c r="E17" i="19" s="1"/>
  <c r="D16" i="19"/>
  <c r="E16" i="19" s="1"/>
  <c r="D15" i="19"/>
  <c r="E15" i="19" s="1"/>
  <c r="D14" i="19"/>
  <c r="E14" i="19" s="1"/>
  <c r="D13" i="19"/>
  <c r="E13" i="19" s="1"/>
  <c r="D11" i="19"/>
  <c r="E11" i="19" s="1"/>
  <c r="D10" i="19"/>
  <c r="E10" i="19" s="1"/>
  <c r="D9" i="19"/>
  <c r="E9" i="19" s="1"/>
  <c r="D8" i="19"/>
  <c r="E8" i="19" s="1"/>
  <c r="D7" i="19"/>
  <c r="E7" i="19" s="1"/>
  <c r="D6" i="19"/>
  <c r="E6" i="19" s="1"/>
  <c r="D5" i="19"/>
  <c r="E5" i="19" s="1"/>
  <c r="D4" i="19"/>
  <c r="E4" i="19" s="1"/>
  <c r="D3" i="19"/>
  <c r="E3" i="19" s="1"/>
  <c r="D2" i="19"/>
  <c r="E2" i="19" s="1"/>
  <c r="D24" i="18"/>
  <c r="E24" i="18" s="1"/>
  <c r="D22" i="18"/>
  <c r="E22" i="18" s="1"/>
  <c r="D21" i="18"/>
  <c r="E21" i="18" s="1"/>
  <c r="D20" i="18"/>
  <c r="E20" i="18" s="1"/>
  <c r="D19" i="18"/>
  <c r="E19" i="18" s="1"/>
  <c r="D18" i="18"/>
  <c r="E18" i="18" s="1"/>
  <c r="D17" i="18"/>
  <c r="E17" i="18" s="1"/>
  <c r="D16" i="18"/>
  <c r="E16" i="18" s="1"/>
  <c r="D15" i="18"/>
  <c r="E15" i="18" s="1"/>
  <c r="D14" i="18"/>
  <c r="E14" i="18" s="1"/>
  <c r="D13" i="18"/>
  <c r="E13" i="18" s="1"/>
  <c r="D11" i="18"/>
  <c r="E11" i="18" s="1"/>
  <c r="D10" i="18"/>
  <c r="E10" i="18" s="1"/>
  <c r="D9" i="18"/>
  <c r="E9" i="18" s="1"/>
  <c r="D8" i="18"/>
  <c r="E8" i="18" s="1"/>
  <c r="D7" i="18"/>
  <c r="E7" i="18" s="1"/>
  <c r="D6" i="18"/>
  <c r="E6" i="18" s="1"/>
  <c r="D5" i="18"/>
  <c r="E5" i="18" s="1"/>
  <c r="D4" i="18"/>
  <c r="E4" i="18" s="1"/>
  <c r="D3" i="18"/>
  <c r="E3" i="18" s="1"/>
  <c r="D2" i="18"/>
  <c r="E2" i="18" s="1"/>
  <c r="D24" i="17"/>
  <c r="E24" i="17" s="1"/>
  <c r="D22" i="17"/>
  <c r="E22" i="17" s="1"/>
  <c r="D21" i="17"/>
  <c r="E21" i="17" s="1"/>
  <c r="D20" i="17"/>
  <c r="E20" i="17" s="1"/>
  <c r="D19" i="17"/>
  <c r="E19" i="17" s="1"/>
  <c r="D18" i="17"/>
  <c r="E18" i="17" s="1"/>
  <c r="D17" i="17"/>
  <c r="E17" i="17" s="1"/>
  <c r="D16" i="17"/>
  <c r="E16" i="17" s="1"/>
  <c r="D15" i="17"/>
  <c r="E15" i="17" s="1"/>
  <c r="D14" i="17"/>
  <c r="E14" i="17" s="1"/>
  <c r="D13" i="17"/>
  <c r="E13" i="17" s="1"/>
  <c r="D11" i="17"/>
  <c r="E11" i="17" s="1"/>
  <c r="D10" i="17"/>
  <c r="E10" i="17" s="1"/>
  <c r="D9" i="17"/>
  <c r="E9" i="17" s="1"/>
  <c r="D8" i="17"/>
  <c r="E8" i="17" s="1"/>
  <c r="D7" i="17"/>
  <c r="E7" i="17" s="1"/>
  <c r="D6" i="17"/>
  <c r="E6" i="17" s="1"/>
  <c r="D5" i="17"/>
  <c r="E5" i="17" s="1"/>
  <c r="D4" i="17"/>
  <c r="E4" i="17" s="1"/>
  <c r="D3" i="17"/>
  <c r="E3" i="17" s="1"/>
  <c r="D2" i="17"/>
  <c r="E2" i="17" s="1"/>
  <c r="D24" i="16"/>
  <c r="E24" i="16" s="1"/>
  <c r="D22" i="16"/>
  <c r="E22" i="16" s="1"/>
  <c r="D21" i="16"/>
  <c r="E21" i="16" s="1"/>
  <c r="D20" i="16"/>
  <c r="E20" i="16" s="1"/>
  <c r="D19" i="16"/>
  <c r="E19" i="16" s="1"/>
  <c r="D18" i="16"/>
  <c r="E18" i="16" s="1"/>
  <c r="D17" i="16"/>
  <c r="E17" i="16" s="1"/>
  <c r="D16" i="16"/>
  <c r="E16" i="16" s="1"/>
  <c r="D15" i="16"/>
  <c r="E15" i="16" s="1"/>
  <c r="D14" i="16"/>
  <c r="E14" i="16" s="1"/>
  <c r="D13" i="16"/>
  <c r="E13" i="16" s="1"/>
  <c r="D11" i="16"/>
  <c r="E11" i="16" s="1"/>
  <c r="D10" i="16"/>
  <c r="E10" i="16" s="1"/>
  <c r="D9" i="16"/>
  <c r="E9" i="16" s="1"/>
  <c r="D8" i="16"/>
  <c r="E8" i="16" s="1"/>
  <c r="D7" i="16"/>
  <c r="E7" i="16" s="1"/>
  <c r="D6" i="16"/>
  <c r="E6" i="16" s="1"/>
  <c r="D5" i="16"/>
  <c r="E5" i="16" s="1"/>
  <c r="D4" i="16"/>
  <c r="E4" i="16" s="1"/>
  <c r="D3" i="16"/>
  <c r="E3" i="16" s="1"/>
  <c r="D2" i="16"/>
  <c r="E2" i="16" s="1"/>
  <c r="D24" i="15"/>
  <c r="E24" i="15" s="1"/>
  <c r="D22" i="15"/>
  <c r="E22" i="15" s="1"/>
  <c r="D21" i="15"/>
  <c r="E21" i="15" s="1"/>
  <c r="D20" i="15"/>
  <c r="E20" i="15" s="1"/>
  <c r="D19" i="15"/>
  <c r="E19" i="15" s="1"/>
  <c r="D18" i="15"/>
  <c r="E18" i="15" s="1"/>
  <c r="D17" i="15"/>
  <c r="E17" i="15" s="1"/>
  <c r="D16" i="15"/>
  <c r="E16" i="15" s="1"/>
  <c r="D15" i="15"/>
  <c r="E15" i="15" s="1"/>
  <c r="D14" i="15"/>
  <c r="E14" i="15" s="1"/>
  <c r="D13" i="15"/>
  <c r="E13" i="15" s="1"/>
  <c r="D11" i="15"/>
  <c r="E11" i="15" s="1"/>
  <c r="D10" i="15"/>
  <c r="E10" i="15" s="1"/>
  <c r="D9" i="15"/>
  <c r="E9" i="15" s="1"/>
  <c r="D8" i="15"/>
  <c r="E8" i="15" s="1"/>
  <c r="D7" i="15"/>
  <c r="E7" i="15" s="1"/>
  <c r="D6" i="15"/>
  <c r="E6" i="15" s="1"/>
  <c r="D5" i="15"/>
  <c r="E5" i="15" s="1"/>
  <c r="D4" i="15"/>
  <c r="E4" i="15" s="1"/>
  <c r="D3" i="15"/>
  <c r="E3" i="15" s="1"/>
  <c r="D2" i="15"/>
  <c r="E2" i="15" s="1"/>
  <c r="D24" i="14"/>
  <c r="E24" i="14" s="1"/>
  <c r="D22" i="14"/>
  <c r="E22" i="14" s="1"/>
  <c r="D21" i="14"/>
  <c r="E21" i="14" s="1"/>
  <c r="D20" i="14"/>
  <c r="E20" i="14" s="1"/>
  <c r="D19" i="14"/>
  <c r="E19" i="14" s="1"/>
  <c r="D18" i="14"/>
  <c r="E18" i="14" s="1"/>
  <c r="D17" i="14"/>
  <c r="E17" i="14" s="1"/>
  <c r="D16" i="14"/>
  <c r="E16" i="14" s="1"/>
  <c r="D15" i="14"/>
  <c r="E15" i="14" s="1"/>
  <c r="D14" i="14"/>
  <c r="E14" i="14" s="1"/>
  <c r="E13" i="14"/>
  <c r="D13" i="14"/>
  <c r="D11" i="14"/>
  <c r="E11" i="14" s="1"/>
  <c r="D10" i="14"/>
  <c r="E10" i="14" s="1"/>
  <c r="D9" i="14"/>
  <c r="E9" i="14" s="1"/>
  <c r="D8" i="14"/>
  <c r="E8" i="14" s="1"/>
  <c r="D7" i="14"/>
  <c r="E7" i="14" s="1"/>
  <c r="D6" i="14"/>
  <c r="E6" i="14" s="1"/>
  <c r="D5" i="14"/>
  <c r="E5" i="14" s="1"/>
  <c r="D4" i="14"/>
  <c r="E4" i="14" s="1"/>
  <c r="E3" i="14"/>
  <c r="D3" i="14"/>
  <c r="D2" i="14"/>
  <c r="E2" i="14" s="1"/>
  <c r="E24" i="13"/>
  <c r="D24" i="13"/>
  <c r="D22" i="13"/>
  <c r="E22" i="13" s="1"/>
  <c r="D21" i="13"/>
  <c r="E21" i="13" s="1"/>
  <c r="D20" i="13"/>
  <c r="E20" i="13" s="1"/>
  <c r="D19" i="13"/>
  <c r="E19" i="13" s="1"/>
  <c r="D18" i="13"/>
  <c r="E18" i="13" s="1"/>
  <c r="D17" i="13"/>
  <c r="E17" i="13" s="1"/>
  <c r="D16" i="13"/>
  <c r="E16" i="13" s="1"/>
  <c r="D15" i="13"/>
  <c r="E15" i="13" s="1"/>
  <c r="D14" i="13"/>
  <c r="E14" i="13" s="1"/>
  <c r="E13" i="13"/>
  <c r="D13" i="13"/>
  <c r="D11" i="13"/>
  <c r="E11" i="13" s="1"/>
  <c r="D10" i="13"/>
  <c r="E10" i="13" s="1"/>
  <c r="D9" i="13"/>
  <c r="E9" i="13" s="1"/>
  <c r="D8" i="13"/>
  <c r="E8" i="13" s="1"/>
  <c r="D7" i="13"/>
  <c r="E7" i="13" s="1"/>
  <c r="D6" i="13"/>
  <c r="E6" i="13" s="1"/>
  <c r="D5" i="13"/>
  <c r="E5" i="13" s="1"/>
  <c r="D4" i="13"/>
  <c r="E4" i="13" s="1"/>
  <c r="E3" i="13"/>
  <c r="D3" i="13"/>
  <c r="D2" i="13"/>
  <c r="E2" i="13" s="1"/>
  <c r="D24" i="12"/>
  <c r="E24" i="12" s="1"/>
  <c r="D22" i="12"/>
  <c r="E22" i="12" s="1"/>
  <c r="D21" i="12"/>
  <c r="E21" i="12" s="1"/>
  <c r="D20" i="12"/>
  <c r="E20" i="12" s="1"/>
  <c r="D19" i="12"/>
  <c r="E19" i="12" s="1"/>
  <c r="D18" i="12"/>
  <c r="E18" i="12" s="1"/>
  <c r="D17" i="12"/>
  <c r="E17" i="12" s="1"/>
  <c r="D16" i="12"/>
  <c r="E16" i="12" s="1"/>
  <c r="D15" i="12"/>
  <c r="E15" i="12" s="1"/>
  <c r="D14" i="12"/>
  <c r="E14" i="12" s="1"/>
  <c r="E13" i="12"/>
  <c r="D13" i="12"/>
  <c r="D11" i="12"/>
  <c r="E11" i="12" s="1"/>
  <c r="D10" i="12"/>
  <c r="E10" i="12" s="1"/>
  <c r="D9" i="12"/>
  <c r="E9" i="12" s="1"/>
  <c r="D8" i="12"/>
  <c r="E8" i="12" s="1"/>
  <c r="D7" i="12"/>
  <c r="E7" i="12" s="1"/>
  <c r="D6" i="12"/>
  <c r="E6" i="12" s="1"/>
  <c r="D5" i="12"/>
  <c r="E5" i="12" s="1"/>
  <c r="D4" i="12"/>
  <c r="E4" i="12" s="1"/>
  <c r="E3" i="12"/>
  <c r="D3" i="12"/>
  <c r="D2" i="12"/>
  <c r="E2" i="12" s="1"/>
  <c r="E24" i="11"/>
  <c r="D24" i="11"/>
  <c r="D22" i="11"/>
  <c r="E22" i="11" s="1"/>
  <c r="D21" i="11"/>
  <c r="E21" i="11" s="1"/>
  <c r="E20" i="11"/>
  <c r="D20" i="11"/>
  <c r="D19" i="11"/>
  <c r="E19" i="11" s="1"/>
  <c r="D18" i="11"/>
  <c r="E18" i="11" s="1"/>
  <c r="D17" i="11"/>
  <c r="E17" i="11" s="1"/>
  <c r="D16" i="11"/>
  <c r="E16" i="11" s="1"/>
  <c r="D15" i="11"/>
  <c r="E15" i="11" s="1"/>
  <c r="E14" i="11"/>
  <c r="D14" i="11"/>
  <c r="D13" i="11"/>
  <c r="E13" i="11" s="1"/>
  <c r="D11" i="11"/>
  <c r="E11" i="11" s="1"/>
  <c r="E10" i="11"/>
  <c r="D10" i="11"/>
  <c r="D9" i="11"/>
  <c r="E9" i="11" s="1"/>
  <c r="D8" i="11"/>
  <c r="E8" i="11" s="1"/>
  <c r="D7" i="11"/>
  <c r="E7" i="11" s="1"/>
  <c r="D6" i="11"/>
  <c r="E6" i="11" s="1"/>
  <c r="D5" i="11"/>
  <c r="E5" i="11" s="1"/>
  <c r="E4" i="11"/>
  <c r="D4" i="11"/>
  <c r="D3" i="11"/>
  <c r="E3" i="11" s="1"/>
  <c r="D2" i="11"/>
  <c r="E2" i="11" s="1"/>
  <c r="E24" i="6"/>
  <c r="D24" i="6"/>
  <c r="D22" i="6"/>
  <c r="E22" i="6" s="1"/>
  <c r="D21" i="6"/>
  <c r="E21" i="6" s="1"/>
  <c r="D20" i="6"/>
  <c r="E20" i="6" s="1"/>
  <c r="D19" i="6"/>
  <c r="E19" i="6" s="1"/>
  <c r="D18" i="6"/>
  <c r="E18" i="6" s="1"/>
  <c r="D17" i="6"/>
  <c r="E17" i="6" s="1"/>
  <c r="D16" i="6"/>
  <c r="E16" i="6" s="1"/>
  <c r="D15" i="6"/>
  <c r="E15" i="6" s="1"/>
  <c r="E14" i="6"/>
  <c r="D14" i="6"/>
  <c r="D13" i="6"/>
  <c r="E13" i="6" s="1"/>
  <c r="D11" i="6"/>
  <c r="E11" i="6" s="1"/>
  <c r="D10" i="6"/>
  <c r="E10" i="6" s="1"/>
  <c r="D9" i="6"/>
  <c r="E9" i="6" s="1"/>
  <c r="D8" i="6"/>
  <c r="E8" i="6" s="1"/>
  <c r="D7" i="6"/>
  <c r="E7" i="6" s="1"/>
  <c r="D6" i="6"/>
  <c r="E6" i="6" s="1"/>
  <c r="D5" i="6"/>
  <c r="E5" i="6" s="1"/>
  <c r="E4" i="6"/>
  <c r="D4" i="6"/>
  <c r="D3" i="6"/>
  <c r="E3" i="6" s="1"/>
  <c r="D2" i="6"/>
  <c r="E2" i="6" s="1"/>
  <c r="D24" i="3"/>
  <c r="E24" i="3" s="1"/>
  <c r="D22" i="3"/>
  <c r="E22" i="3" s="1"/>
  <c r="D21" i="3"/>
  <c r="E21" i="3" s="1"/>
  <c r="E20" i="3"/>
  <c r="D20" i="3"/>
  <c r="D19" i="3"/>
  <c r="E19" i="3" s="1"/>
  <c r="D18" i="3"/>
  <c r="E18" i="3" s="1"/>
  <c r="D17" i="3"/>
  <c r="E17" i="3" s="1"/>
  <c r="D16" i="3"/>
  <c r="E16" i="3" s="1"/>
  <c r="D30" i="10" s="1"/>
  <c r="D15" i="3"/>
  <c r="E15" i="3" s="1"/>
  <c r="D14" i="3"/>
  <c r="E14" i="3" s="1"/>
  <c r="D13" i="3"/>
  <c r="E13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3" i="3"/>
  <c r="E3" i="3" s="1"/>
  <c r="D2" i="3"/>
  <c r="E2" i="3" s="1"/>
  <c r="E13" i="2"/>
  <c r="P3" i="9" l="1"/>
  <c r="Q3" i="9"/>
  <c r="N25" i="3"/>
  <c r="C25" i="3"/>
  <c r="D23" i="3" s="1"/>
  <c r="E23" i="3" s="1"/>
  <c r="B25" i="3"/>
  <c r="I1" i="3" s="1"/>
  <c r="I5" i="3" s="1"/>
  <c r="L14" i="3"/>
  <c r="I8" i="3" s="1"/>
  <c r="K14" i="3"/>
  <c r="I7" i="3" s="1"/>
  <c r="N13" i="3"/>
  <c r="I13" i="3"/>
  <c r="AH12" i="3"/>
  <c r="AB12" i="3"/>
  <c r="H10" i="10" s="1"/>
  <c r="AA12" i="3"/>
  <c r="G10" i="10" s="1"/>
  <c r="W12" i="3"/>
  <c r="N12" i="3"/>
  <c r="AH11" i="3"/>
  <c r="AB11" i="3"/>
  <c r="H9" i="10" s="1"/>
  <c r="AA11" i="3"/>
  <c r="W11" i="3"/>
  <c r="N11" i="3"/>
  <c r="AH10" i="3"/>
  <c r="AB10" i="3"/>
  <c r="H8" i="10" s="1"/>
  <c r="AA10" i="3"/>
  <c r="W10" i="3"/>
  <c r="N10" i="3"/>
  <c r="AG9" i="3"/>
  <c r="AF9" i="3"/>
  <c r="AB9" i="3"/>
  <c r="H7" i="10" s="1"/>
  <c r="AA9" i="3"/>
  <c r="G7" i="10" s="1"/>
  <c r="W9" i="3"/>
  <c r="N9" i="3"/>
  <c r="AG8" i="3"/>
  <c r="AF8" i="3"/>
  <c r="AB8" i="3"/>
  <c r="H6" i="10" s="1"/>
  <c r="AA8" i="3"/>
  <c r="W8" i="3"/>
  <c r="N8" i="3"/>
  <c r="AG7" i="3"/>
  <c r="AF7" i="3"/>
  <c r="AB7" i="3"/>
  <c r="H5" i="10" s="1"/>
  <c r="AA7" i="3"/>
  <c r="G5" i="10" s="1"/>
  <c r="W7" i="3"/>
  <c r="N7" i="3"/>
  <c r="AG6" i="3"/>
  <c r="AF6" i="3"/>
  <c r="AB6" i="3"/>
  <c r="H4" i="10" s="1"/>
  <c r="AA6" i="3"/>
  <c r="W6" i="3"/>
  <c r="N6" i="3"/>
  <c r="AG5" i="3"/>
  <c r="AF5" i="3"/>
  <c r="AB5" i="3"/>
  <c r="H3" i="10" s="1"/>
  <c r="AA5" i="3"/>
  <c r="W5" i="3"/>
  <c r="I2" i="3"/>
  <c r="D25" i="3"/>
  <c r="I3" i="3" s="1"/>
  <c r="N25" i="39"/>
  <c r="I13" i="39" s="1"/>
  <c r="C25" i="39"/>
  <c r="B25" i="39"/>
  <c r="I1" i="39" s="1"/>
  <c r="L14" i="39"/>
  <c r="I8" i="39" s="1"/>
  <c r="K14" i="39"/>
  <c r="I7" i="39" s="1"/>
  <c r="I9" i="39" s="1"/>
  <c r="AH12" i="39"/>
  <c r="AB12" i="39"/>
  <c r="AA12" i="39"/>
  <c r="AC12" i="39" s="1"/>
  <c r="W12" i="39"/>
  <c r="X12" i="39" s="1"/>
  <c r="AH11" i="39"/>
  <c r="AB11" i="39"/>
  <c r="AA11" i="39"/>
  <c r="AC11" i="39" s="1"/>
  <c r="W11" i="39"/>
  <c r="X11" i="39" s="1"/>
  <c r="AH10" i="39"/>
  <c r="AB10" i="39"/>
  <c r="AA10" i="39"/>
  <c r="AC10" i="39" s="1"/>
  <c r="W10" i="39"/>
  <c r="X10" i="39" s="1"/>
  <c r="AG9" i="39"/>
  <c r="AF9" i="39"/>
  <c r="AB9" i="39"/>
  <c r="AA9" i="39"/>
  <c r="AC9" i="39" s="1"/>
  <c r="W9" i="39"/>
  <c r="X9" i="39" s="1"/>
  <c r="AG8" i="39"/>
  <c r="AF8" i="39"/>
  <c r="AB8" i="39"/>
  <c r="AA8" i="39"/>
  <c r="AC8" i="39" s="1"/>
  <c r="W8" i="39"/>
  <c r="X8" i="39" s="1"/>
  <c r="AG7" i="39"/>
  <c r="AF7" i="39"/>
  <c r="AB7" i="39"/>
  <c r="AA7" i="39"/>
  <c r="AC7" i="39" s="1"/>
  <c r="W7" i="39"/>
  <c r="X7" i="39" s="1"/>
  <c r="AG6" i="39"/>
  <c r="AF6" i="39"/>
  <c r="AB6" i="39"/>
  <c r="AA6" i="39"/>
  <c r="AC6" i="39" s="1"/>
  <c r="W6" i="39"/>
  <c r="X6" i="39" s="1"/>
  <c r="AG5" i="39"/>
  <c r="AF5" i="39"/>
  <c r="AB5" i="39"/>
  <c r="AB13" i="39" s="1"/>
  <c r="AA5" i="39"/>
  <c r="AA13" i="39" s="1"/>
  <c r="AC13" i="39" s="1"/>
  <c r="W5" i="39"/>
  <c r="X5" i="39" s="1"/>
  <c r="N25" i="38"/>
  <c r="C25" i="38"/>
  <c r="D23" i="38" s="1"/>
  <c r="E23" i="38" s="1"/>
  <c r="B25" i="38"/>
  <c r="L14" i="38"/>
  <c r="I8" i="38" s="1"/>
  <c r="K14" i="38"/>
  <c r="I7" i="38" s="1"/>
  <c r="I13" i="38"/>
  <c r="AH12" i="38"/>
  <c r="AB12" i="38"/>
  <c r="AA12" i="38"/>
  <c r="AC12" i="38" s="1"/>
  <c r="W12" i="38"/>
  <c r="X12" i="38" s="1"/>
  <c r="AH11" i="38"/>
  <c r="AB11" i="38"/>
  <c r="AA11" i="38"/>
  <c r="AC11" i="38" s="1"/>
  <c r="W11" i="38"/>
  <c r="X11" i="38" s="1"/>
  <c r="AH10" i="38"/>
  <c r="AB10" i="38"/>
  <c r="AA10" i="38"/>
  <c r="AC10" i="38" s="1"/>
  <c r="W10" i="38"/>
  <c r="X10" i="38" s="1"/>
  <c r="AG9" i="38"/>
  <c r="AF9" i="38"/>
  <c r="AB9" i="38"/>
  <c r="AA9" i="38"/>
  <c r="AC9" i="38" s="1"/>
  <c r="W9" i="38"/>
  <c r="X9" i="38" s="1"/>
  <c r="AG8" i="38"/>
  <c r="AF8" i="38"/>
  <c r="AB8" i="38"/>
  <c r="AA8" i="38"/>
  <c r="AC8" i="38" s="1"/>
  <c r="W8" i="38"/>
  <c r="X8" i="38" s="1"/>
  <c r="AG7" i="38"/>
  <c r="AF7" i="38"/>
  <c r="AB7" i="38"/>
  <c r="AC7" i="38" s="1"/>
  <c r="AA7" i="38"/>
  <c r="W7" i="38"/>
  <c r="X7" i="38" s="1"/>
  <c r="AG6" i="38"/>
  <c r="AF6" i="38"/>
  <c r="AB6" i="38"/>
  <c r="AA6" i="38"/>
  <c r="AC6" i="38" s="1"/>
  <c r="W6" i="38"/>
  <c r="X6" i="38" s="1"/>
  <c r="AG5" i="38"/>
  <c r="AF5" i="38"/>
  <c r="AB5" i="38"/>
  <c r="AA5" i="38"/>
  <c r="AC5" i="38" s="1"/>
  <c r="W5" i="38"/>
  <c r="X5" i="38" s="1"/>
  <c r="I2" i="38"/>
  <c r="I1" i="38"/>
  <c r="I5" i="38" s="1"/>
  <c r="N25" i="37"/>
  <c r="C25" i="37"/>
  <c r="D23" i="37" s="1"/>
  <c r="E23" i="37" s="1"/>
  <c r="B25" i="37"/>
  <c r="I1" i="37" s="1"/>
  <c r="L14" i="37"/>
  <c r="I8" i="37" s="1"/>
  <c r="K14" i="37"/>
  <c r="I7" i="37" s="1"/>
  <c r="I13" i="37"/>
  <c r="AH12" i="37"/>
  <c r="AB12" i="37"/>
  <c r="AA12" i="37"/>
  <c r="AC12" i="37" s="1"/>
  <c r="W12" i="37"/>
  <c r="X12" i="37" s="1"/>
  <c r="AH11" i="37"/>
  <c r="AB11" i="37"/>
  <c r="AA11" i="37"/>
  <c r="AC11" i="37" s="1"/>
  <c r="W11" i="37"/>
  <c r="X11" i="37" s="1"/>
  <c r="AH10" i="37"/>
  <c r="AB10" i="37"/>
  <c r="AA10" i="37"/>
  <c r="AC10" i="37" s="1"/>
  <c r="W10" i="37"/>
  <c r="X10" i="37" s="1"/>
  <c r="AG9" i="37"/>
  <c r="AF9" i="37"/>
  <c r="AB9" i="37"/>
  <c r="AA9" i="37"/>
  <c r="AC9" i="37" s="1"/>
  <c r="W9" i="37"/>
  <c r="AG8" i="37"/>
  <c r="AF8" i="37"/>
  <c r="AB8" i="37"/>
  <c r="AA8" i="37"/>
  <c r="AC8" i="37" s="1"/>
  <c r="W8" i="37"/>
  <c r="X8" i="37" s="1"/>
  <c r="AG7" i="37"/>
  <c r="AF7" i="37"/>
  <c r="AB7" i="37"/>
  <c r="AB13" i="37" s="1"/>
  <c r="AA7" i="37"/>
  <c r="W7" i="37"/>
  <c r="X7" i="37" s="1"/>
  <c r="AG6" i="37"/>
  <c r="AF6" i="37"/>
  <c r="AB6" i="37"/>
  <c r="AA6" i="37"/>
  <c r="AC6" i="37" s="1"/>
  <c r="W6" i="37"/>
  <c r="X6" i="37" s="1"/>
  <c r="AG5" i="37"/>
  <c r="AF5" i="37"/>
  <c r="AB5" i="37"/>
  <c r="AA5" i="37"/>
  <c r="AC5" i="37" s="1"/>
  <c r="W5" i="37"/>
  <c r="X5" i="37" s="1"/>
  <c r="N25" i="36"/>
  <c r="C25" i="36"/>
  <c r="D23" i="36" s="1"/>
  <c r="E23" i="36" s="1"/>
  <c r="B25" i="36"/>
  <c r="I1" i="36" s="1"/>
  <c r="L14" i="36"/>
  <c r="K14" i="36"/>
  <c r="I7" i="36" s="1"/>
  <c r="I13" i="36"/>
  <c r="AH12" i="36"/>
  <c r="AB12" i="36"/>
  <c r="AA12" i="36"/>
  <c r="AC12" i="36" s="1"/>
  <c r="W12" i="36"/>
  <c r="X12" i="36" s="1"/>
  <c r="AH11" i="36"/>
  <c r="AB11" i="36"/>
  <c r="AA11" i="36"/>
  <c r="AC11" i="36" s="1"/>
  <c r="W11" i="36"/>
  <c r="X11" i="36" s="1"/>
  <c r="AH10" i="36"/>
  <c r="AB10" i="36"/>
  <c r="AA10" i="36"/>
  <c r="AC10" i="36" s="1"/>
  <c r="W10" i="36"/>
  <c r="X10" i="36" s="1"/>
  <c r="AG9" i="36"/>
  <c r="AF9" i="36"/>
  <c r="AB9" i="36"/>
  <c r="AA9" i="36"/>
  <c r="AC9" i="36" s="1"/>
  <c r="W9" i="36"/>
  <c r="AG8" i="36"/>
  <c r="AF8" i="36"/>
  <c r="AB8" i="36"/>
  <c r="AA8" i="36"/>
  <c r="AC8" i="36" s="1"/>
  <c r="W8" i="36"/>
  <c r="X8" i="36" s="1"/>
  <c r="I8" i="36"/>
  <c r="AG7" i="36"/>
  <c r="AF7" i="36"/>
  <c r="AB7" i="36"/>
  <c r="AB13" i="36" s="1"/>
  <c r="AA7" i="36"/>
  <c r="W7" i="36"/>
  <c r="X7" i="36" s="1"/>
  <c r="AG6" i="36"/>
  <c r="AF6" i="36"/>
  <c r="AB6" i="36"/>
  <c r="AA6" i="36"/>
  <c r="AC6" i="36" s="1"/>
  <c r="W6" i="36"/>
  <c r="X6" i="36" s="1"/>
  <c r="AG5" i="36"/>
  <c r="AF5" i="36"/>
  <c r="AC5" i="36"/>
  <c r="AB5" i="36"/>
  <c r="AA5" i="36"/>
  <c r="W5" i="36"/>
  <c r="X5" i="36" s="1"/>
  <c r="I2" i="36"/>
  <c r="I12" i="36" s="1"/>
  <c r="N25" i="35"/>
  <c r="C25" i="35"/>
  <c r="B25" i="35"/>
  <c r="I1" i="35" s="1"/>
  <c r="L14" i="35"/>
  <c r="I8" i="35" s="1"/>
  <c r="K14" i="35"/>
  <c r="I7" i="35" s="1"/>
  <c r="I9" i="35" s="1"/>
  <c r="I13" i="35"/>
  <c r="AH12" i="35"/>
  <c r="AB12" i="35"/>
  <c r="AA12" i="35"/>
  <c r="AC12" i="35" s="1"/>
  <c r="W12" i="35"/>
  <c r="X12" i="35" s="1"/>
  <c r="AH11" i="35"/>
  <c r="AB11" i="35"/>
  <c r="AA11" i="35"/>
  <c r="AC11" i="35" s="1"/>
  <c r="W11" i="35"/>
  <c r="X11" i="35" s="1"/>
  <c r="AH10" i="35"/>
  <c r="AB10" i="35"/>
  <c r="AA10" i="35"/>
  <c r="AC10" i="35" s="1"/>
  <c r="W10" i="35"/>
  <c r="X10" i="35" s="1"/>
  <c r="AG9" i="35"/>
  <c r="AF9" i="35"/>
  <c r="AB9" i="35"/>
  <c r="AA9" i="35"/>
  <c r="AC9" i="35" s="1"/>
  <c r="W9" i="35"/>
  <c r="X9" i="35" s="1"/>
  <c r="AG8" i="35"/>
  <c r="AF8" i="35"/>
  <c r="AB8" i="35"/>
  <c r="AA8" i="35"/>
  <c r="AC8" i="35" s="1"/>
  <c r="W8" i="35"/>
  <c r="X8" i="35" s="1"/>
  <c r="AG7" i="35"/>
  <c r="AF7" i="35"/>
  <c r="AB7" i="35"/>
  <c r="AC7" i="35" s="1"/>
  <c r="AA7" i="35"/>
  <c r="W7" i="35"/>
  <c r="X7" i="35" s="1"/>
  <c r="AG6" i="35"/>
  <c r="AF6" i="35"/>
  <c r="AB6" i="35"/>
  <c r="AA6" i="35"/>
  <c r="AC6" i="35" s="1"/>
  <c r="W6" i="35"/>
  <c r="X6" i="35" s="1"/>
  <c r="AG5" i="35"/>
  <c r="AF5" i="35"/>
  <c r="AB5" i="35"/>
  <c r="AB13" i="35" s="1"/>
  <c r="AA5" i="35"/>
  <c r="AC5" i="35" s="1"/>
  <c r="W5" i="35"/>
  <c r="X5" i="35" s="1"/>
  <c r="N25" i="34"/>
  <c r="C25" i="34"/>
  <c r="D23" i="34" s="1"/>
  <c r="E23" i="34" s="1"/>
  <c r="B25" i="34"/>
  <c r="I1" i="34" s="1"/>
  <c r="I5" i="34" s="1"/>
  <c r="L14" i="34"/>
  <c r="K14" i="34"/>
  <c r="I7" i="34" s="1"/>
  <c r="I13" i="34"/>
  <c r="AH12" i="34"/>
  <c r="AB12" i="34"/>
  <c r="AA12" i="34"/>
  <c r="AC12" i="34" s="1"/>
  <c r="W12" i="34"/>
  <c r="X12" i="34" s="1"/>
  <c r="AH11" i="34"/>
  <c r="AB11" i="34"/>
  <c r="AA11" i="34"/>
  <c r="AC11" i="34" s="1"/>
  <c r="W11" i="34"/>
  <c r="X11" i="34" s="1"/>
  <c r="AH10" i="34"/>
  <c r="AB10" i="34"/>
  <c r="AA10" i="34"/>
  <c r="AC10" i="34" s="1"/>
  <c r="W10" i="34"/>
  <c r="X10" i="34" s="1"/>
  <c r="AG9" i="34"/>
  <c r="AF9" i="34"/>
  <c r="AB9" i="34"/>
  <c r="AA9" i="34"/>
  <c r="AC9" i="34" s="1"/>
  <c r="W9" i="34"/>
  <c r="X9" i="34" s="1"/>
  <c r="AG8" i="34"/>
  <c r="AF8" i="34"/>
  <c r="AB8" i="34"/>
  <c r="AA8" i="34"/>
  <c r="AC8" i="34" s="1"/>
  <c r="W8" i="34"/>
  <c r="X8" i="34" s="1"/>
  <c r="I8" i="34"/>
  <c r="AG7" i="34"/>
  <c r="AF7" i="34"/>
  <c r="AB7" i="34"/>
  <c r="AB13" i="34" s="1"/>
  <c r="AA7" i="34"/>
  <c r="W7" i="34"/>
  <c r="X7" i="34" s="1"/>
  <c r="AG6" i="34"/>
  <c r="AF6" i="34"/>
  <c r="AB6" i="34"/>
  <c r="AA6" i="34"/>
  <c r="AC6" i="34" s="1"/>
  <c r="W6" i="34"/>
  <c r="X6" i="34" s="1"/>
  <c r="AG5" i="34"/>
  <c r="AF5" i="34"/>
  <c r="AB5" i="34"/>
  <c r="AA5" i="34"/>
  <c r="AC5" i="34" s="1"/>
  <c r="W5" i="34"/>
  <c r="X5" i="34" s="1"/>
  <c r="I2" i="34"/>
  <c r="I12" i="34" s="1"/>
  <c r="N25" i="33"/>
  <c r="C25" i="33"/>
  <c r="D23" i="33" s="1"/>
  <c r="E23" i="33" s="1"/>
  <c r="B25" i="33"/>
  <c r="L14" i="33"/>
  <c r="I8" i="33" s="1"/>
  <c r="K14" i="33"/>
  <c r="I7" i="33" s="1"/>
  <c r="I13" i="33"/>
  <c r="AH12" i="33"/>
  <c r="AB12" i="33"/>
  <c r="AA12" i="33"/>
  <c r="AC12" i="33" s="1"/>
  <c r="W12" i="33"/>
  <c r="X12" i="33" s="1"/>
  <c r="AH11" i="33"/>
  <c r="AB11" i="33"/>
  <c r="AA11" i="33"/>
  <c r="AC11" i="33" s="1"/>
  <c r="W11" i="33"/>
  <c r="X11" i="33" s="1"/>
  <c r="AH10" i="33"/>
  <c r="AB10" i="33"/>
  <c r="AA10" i="33"/>
  <c r="AC10" i="33" s="1"/>
  <c r="W10" i="33"/>
  <c r="X10" i="33" s="1"/>
  <c r="AG9" i="33"/>
  <c r="AF9" i="33"/>
  <c r="AB9" i="33"/>
  <c r="AA9" i="33"/>
  <c r="AC9" i="33" s="1"/>
  <c r="W9" i="33"/>
  <c r="AG8" i="33"/>
  <c r="AF8" i="33"/>
  <c r="AB8" i="33"/>
  <c r="AA8" i="33"/>
  <c r="AC8" i="33" s="1"/>
  <c r="W8" i="33"/>
  <c r="X8" i="33" s="1"/>
  <c r="AG7" i="33"/>
  <c r="AF7" i="33"/>
  <c r="AB7" i="33"/>
  <c r="AB13" i="33" s="1"/>
  <c r="AA7" i="33"/>
  <c r="W7" i="33"/>
  <c r="X7" i="33" s="1"/>
  <c r="AG6" i="33"/>
  <c r="AF6" i="33"/>
  <c r="AB6" i="33"/>
  <c r="AA6" i="33"/>
  <c r="AC6" i="33" s="1"/>
  <c r="W6" i="33"/>
  <c r="X6" i="33" s="1"/>
  <c r="AG5" i="33"/>
  <c r="AF5" i="33"/>
  <c r="AB5" i="33"/>
  <c r="AA5" i="33"/>
  <c r="AC5" i="33" s="1"/>
  <c r="W5" i="33"/>
  <c r="X5" i="33" s="1"/>
  <c r="I1" i="33"/>
  <c r="N25" i="32"/>
  <c r="C25" i="32"/>
  <c r="D23" i="32" s="1"/>
  <c r="E23" i="32" s="1"/>
  <c r="B25" i="32"/>
  <c r="I1" i="32" s="1"/>
  <c r="L14" i="32"/>
  <c r="K14" i="32"/>
  <c r="I7" i="32" s="1"/>
  <c r="I13" i="32"/>
  <c r="AH12" i="32"/>
  <c r="AB12" i="32"/>
  <c r="AA12" i="32"/>
  <c r="AC12" i="32" s="1"/>
  <c r="W12" i="32"/>
  <c r="X12" i="32" s="1"/>
  <c r="AH11" i="32"/>
  <c r="AB11" i="32"/>
  <c r="AA11" i="32"/>
  <c r="AC11" i="32" s="1"/>
  <c r="W11" i="32"/>
  <c r="X11" i="32" s="1"/>
  <c r="AH10" i="32"/>
  <c r="AB10" i="32"/>
  <c r="AA10" i="32"/>
  <c r="AC10" i="32" s="1"/>
  <c r="W10" i="32"/>
  <c r="X10" i="32" s="1"/>
  <c r="AG9" i="32"/>
  <c r="AF9" i="32"/>
  <c r="AB9" i="32"/>
  <c r="AA9" i="32"/>
  <c r="AC9" i="32" s="1"/>
  <c r="W9" i="32"/>
  <c r="AG8" i="32"/>
  <c r="AF8" i="32"/>
  <c r="AB8" i="32"/>
  <c r="AA8" i="32"/>
  <c r="AC8" i="32" s="1"/>
  <c r="W8" i="32"/>
  <c r="X8" i="32" s="1"/>
  <c r="I8" i="32"/>
  <c r="AG7" i="32"/>
  <c r="AF7" i="32"/>
  <c r="AB7" i="32"/>
  <c r="AB13" i="32" s="1"/>
  <c r="AA7" i="32"/>
  <c r="W7" i="32"/>
  <c r="X7" i="32" s="1"/>
  <c r="AG6" i="32"/>
  <c r="AF6" i="32"/>
  <c r="AB6" i="32"/>
  <c r="AA6" i="32"/>
  <c r="AC6" i="32" s="1"/>
  <c r="W6" i="32"/>
  <c r="X6" i="32" s="1"/>
  <c r="AG5" i="32"/>
  <c r="AF5" i="32"/>
  <c r="AB5" i="32"/>
  <c r="AA5" i="32"/>
  <c r="AC5" i="32" s="1"/>
  <c r="W5" i="32"/>
  <c r="X5" i="32" s="1"/>
  <c r="I2" i="32"/>
  <c r="I12" i="32" s="1"/>
  <c r="N25" i="31"/>
  <c r="C25" i="31"/>
  <c r="B25" i="31"/>
  <c r="I1" i="31" s="1"/>
  <c r="L14" i="31"/>
  <c r="I8" i="31" s="1"/>
  <c r="K14" i="31"/>
  <c r="I7" i="31" s="1"/>
  <c r="I9" i="31" s="1"/>
  <c r="I13" i="31"/>
  <c r="AH12" i="31"/>
  <c r="AB12" i="31"/>
  <c r="AA12" i="31"/>
  <c r="AC12" i="31" s="1"/>
  <c r="W12" i="31"/>
  <c r="X12" i="31" s="1"/>
  <c r="AH11" i="31"/>
  <c r="AB11" i="31"/>
  <c r="AA11" i="31"/>
  <c r="AC11" i="31" s="1"/>
  <c r="W11" i="31"/>
  <c r="X11" i="31" s="1"/>
  <c r="AH10" i="31"/>
  <c r="AB10" i="31"/>
  <c r="AA10" i="31"/>
  <c r="AC10" i="31" s="1"/>
  <c r="W10" i="31"/>
  <c r="X10" i="31" s="1"/>
  <c r="AG9" i="31"/>
  <c r="AF9" i="31"/>
  <c r="AB9" i="31"/>
  <c r="AA9" i="31"/>
  <c r="AC9" i="31" s="1"/>
  <c r="W9" i="31"/>
  <c r="X9" i="31" s="1"/>
  <c r="AG8" i="31"/>
  <c r="AF8" i="31"/>
  <c r="AB8" i="31"/>
  <c r="AA8" i="31"/>
  <c r="AC8" i="31" s="1"/>
  <c r="W8" i="31"/>
  <c r="X8" i="31" s="1"/>
  <c r="AG7" i="31"/>
  <c r="AF7" i="31"/>
  <c r="AB7" i="31"/>
  <c r="AC7" i="31" s="1"/>
  <c r="AA7" i="31"/>
  <c r="W7" i="31"/>
  <c r="X7" i="31" s="1"/>
  <c r="AG6" i="31"/>
  <c r="AF6" i="31"/>
  <c r="AB6" i="31"/>
  <c r="AA6" i="31"/>
  <c r="AC6" i="31" s="1"/>
  <c r="W6" i="31"/>
  <c r="X6" i="31" s="1"/>
  <c r="AG5" i="31"/>
  <c r="AF5" i="31"/>
  <c r="AB5" i="31"/>
  <c r="AB13" i="31" s="1"/>
  <c r="AA5" i="31"/>
  <c r="AC5" i="31" s="1"/>
  <c r="W5" i="31"/>
  <c r="X5" i="31" s="1"/>
  <c r="N25" i="30"/>
  <c r="C25" i="30"/>
  <c r="D23" i="30" s="1"/>
  <c r="E23" i="30" s="1"/>
  <c r="B25" i="30"/>
  <c r="L14" i="30"/>
  <c r="I8" i="30" s="1"/>
  <c r="K14" i="30"/>
  <c r="I7" i="30" s="1"/>
  <c r="I13" i="30"/>
  <c r="AH12" i="30"/>
  <c r="AB12" i="30"/>
  <c r="AA12" i="30"/>
  <c r="AC12" i="30" s="1"/>
  <c r="W12" i="30"/>
  <c r="X12" i="30" s="1"/>
  <c r="AH11" i="30"/>
  <c r="AB11" i="30"/>
  <c r="AA11" i="30"/>
  <c r="AC11" i="30" s="1"/>
  <c r="W11" i="30"/>
  <c r="X11" i="30" s="1"/>
  <c r="AH10" i="30"/>
  <c r="AB10" i="30"/>
  <c r="AA10" i="30"/>
  <c r="AC10" i="30" s="1"/>
  <c r="W10" i="30"/>
  <c r="X10" i="30" s="1"/>
  <c r="AG9" i="30"/>
  <c r="AF9" i="30"/>
  <c r="AB9" i="30"/>
  <c r="AA9" i="30"/>
  <c r="AC9" i="30" s="1"/>
  <c r="W9" i="30"/>
  <c r="AG8" i="30"/>
  <c r="AF8" i="30"/>
  <c r="AB8" i="30"/>
  <c r="AA8" i="30"/>
  <c r="AC8" i="30" s="1"/>
  <c r="W8" i="30"/>
  <c r="X8" i="30" s="1"/>
  <c r="AG7" i="30"/>
  <c r="AF7" i="30"/>
  <c r="AB7" i="30"/>
  <c r="AC7" i="30" s="1"/>
  <c r="AA7" i="30"/>
  <c r="W7" i="30"/>
  <c r="X7" i="30" s="1"/>
  <c r="AG6" i="30"/>
  <c r="AF6" i="30"/>
  <c r="AB6" i="30"/>
  <c r="AA6" i="30"/>
  <c r="AC6" i="30" s="1"/>
  <c r="W6" i="30"/>
  <c r="X6" i="30" s="1"/>
  <c r="AG5" i="30"/>
  <c r="AF5" i="30"/>
  <c r="AB5" i="30"/>
  <c r="AA5" i="30"/>
  <c r="AC5" i="30" s="1"/>
  <c r="W5" i="30"/>
  <c r="X5" i="30" s="1"/>
  <c r="I2" i="30"/>
  <c r="I12" i="30" s="1"/>
  <c r="I1" i="30"/>
  <c r="I5" i="30" s="1"/>
  <c r="N25" i="29"/>
  <c r="C25" i="29"/>
  <c r="D23" i="29" s="1"/>
  <c r="E23" i="29" s="1"/>
  <c r="B25" i="29"/>
  <c r="I1" i="29" s="1"/>
  <c r="L14" i="29"/>
  <c r="K14" i="29"/>
  <c r="I7" i="29" s="1"/>
  <c r="I13" i="29"/>
  <c r="AH12" i="29"/>
  <c r="AB12" i="29"/>
  <c r="AA12" i="29"/>
  <c r="AC12" i="29" s="1"/>
  <c r="W12" i="29"/>
  <c r="X12" i="29" s="1"/>
  <c r="AH11" i="29"/>
  <c r="AB11" i="29"/>
  <c r="AA11" i="29"/>
  <c r="AC11" i="29" s="1"/>
  <c r="W11" i="29"/>
  <c r="X11" i="29" s="1"/>
  <c r="AH10" i="29"/>
  <c r="AB10" i="29"/>
  <c r="AA10" i="29"/>
  <c r="AC10" i="29" s="1"/>
  <c r="W10" i="29"/>
  <c r="X10" i="29" s="1"/>
  <c r="AG9" i="29"/>
  <c r="AF9" i="29"/>
  <c r="AB9" i="29"/>
  <c r="AA9" i="29"/>
  <c r="AC9" i="29" s="1"/>
  <c r="W9" i="29"/>
  <c r="X9" i="29" s="1"/>
  <c r="AG8" i="29"/>
  <c r="AF8" i="29"/>
  <c r="AB8" i="29"/>
  <c r="AA8" i="29"/>
  <c r="AC8" i="29" s="1"/>
  <c r="W8" i="29"/>
  <c r="X8" i="29" s="1"/>
  <c r="I8" i="29"/>
  <c r="AG7" i="29"/>
  <c r="AF7" i="29"/>
  <c r="AB7" i="29"/>
  <c r="AC7" i="29" s="1"/>
  <c r="AA7" i="29"/>
  <c r="W7" i="29"/>
  <c r="X7" i="29" s="1"/>
  <c r="AG6" i="29"/>
  <c r="AF6" i="29"/>
  <c r="AB6" i="29"/>
  <c r="AA6" i="29"/>
  <c r="AC6" i="29" s="1"/>
  <c r="W6" i="29"/>
  <c r="X6" i="29" s="1"/>
  <c r="AG5" i="29"/>
  <c r="AF5" i="29"/>
  <c r="AB5" i="29"/>
  <c r="AA5" i="29"/>
  <c r="AC5" i="29" s="1"/>
  <c r="W5" i="29"/>
  <c r="X5" i="29" s="1"/>
  <c r="N25" i="28"/>
  <c r="C25" i="28"/>
  <c r="D23" i="28" s="1"/>
  <c r="E23" i="28" s="1"/>
  <c r="B25" i="28"/>
  <c r="I1" i="28" s="1"/>
  <c r="L14" i="28"/>
  <c r="K14" i="28"/>
  <c r="I7" i="28" s="1"/>
  <c r="I13" i="28"/>
  <c r="AH12" i="28"/>
  <c r="AB12" i="28"/>
  <c r="AA12" i="28"/>
  <c r="AC12" i="28" s="1"/>
  <c r="W12" i="28"/>
  <c r="X12" i="28" s="1"/>
  <c r="AH11" i="28"/>
  <c r="AB11" i="28"/>
  <c r="AA11" i="28"/>
  <c r="AC11" i="28" s="1"/>
  <c r="W11" i="28"/>
  <c r="X11" i="28" s="1"/>
  <c r="AH10" i="28"/>
  <c r="AB10" i="28"/>
  <c r="AA10" i="28"/>
  <c r="AC10" i="28" s="1"/>
  <c r="W10" i="28"/>
  <c r="X10" i="28" s="1"/>
  <c r="AG9" i="28"/>
  <c r="AF9" i="28"/>
  <c r="AB9" i="28"/>
  <c r="AA9" i="28"/>
  <c r="AC9" i="28" s="1"/>
  <c r="W9" i="28"/>
  <c r="AG8" i="28"/>
  <c r="AF8" i="28"/>
  <c r="AB8" i="28"/>
  <c r="AA8" i="28"/>
  <c r="AC8" i="28" s="1"/>
  <c r="W8" i="28"/>
  <c r="X8" i="28" s="1"/>
  <c r="I8" i="28"/>
  <c r="AG7" i="28"/>
  <c r="AF7" i="28"/>
  <c r="AB7" i="28"/>
  <c r="AB13" i="28" s="1"/>
  <c r="AA7" i="28"/>
  <c r="W7" i="28"/>
  <c r="X7" i="28" s="1"/>
  <c r="AG6" i="28"/>
  <c r="AF6" i="28"/>
  <c r="AB6" i="28"/>
  <c r="AA6" i="28"/>
  <c r="AC6" i="28" s="1"/>
  <c r="W6" i="28"/>
  <c r="X6" i="28" s="1"/>
  <c r="AG5" i="28"/>
  <c r="AF5" i="28"/>
  <c r="AB5" i="28"/>
  <c r="AA5" i="28"/>
  <c r="AC5" i="28" s="1"/>
  <c r="W5" i="28"/>
  <c r="X5" i="28" s="1"/>
  <c r="N25" i="27"/>
  <c r="C25" i="27"/>
  <c r="D23" i="27" s="1"/>
  <c r="E23" i="27" s="1"/>
  <c r="B25" i="27"/>
  <c r="I1" i="27" s="1"/>
  <c r="L14" i="27"/>
  <c r="K14" i="27"/>
  <c r="I7" i="27" s="1"/>
  <c r="I13" i="27"/>
  <c r="AH12" i="27"/>
  <c r="AB12" i="27"/>
  <c r="AA12" i="27"/>
  <c r="AC12" i="27" s="1"/>
  <c r="W12" i="27"/>
  <c r="X12" i="27" s="1"/>
  <c r="AH11" i="27"/>
  <c r="AB11" i="27"/>
  <c r="AA11" i="27"/>
  <c r="AC11" i="27" s="1"/>
  <c r="W11" i="27"/>
  <c r="X11" i="27" s="1"/>
  <c r="AH10" i="27"/>
  <c r="AB10" i="27"/>
  <c r="AA10" i="27"/>
  <c r="AC10" i="27" s="1"/>
  <c r="W10" i="27"/>
  <c r="X10" i="27" s="1"/>
  <c r="AG9" i="27"/>
  <c r="AF9" i="27"/>
  <c r="AB9" i="27"/>
  <c r="AA9" i="27"/>
  <c r="AA13" i="27" s="1"/>
  <c r="W9" i="27"/>
  <c r="AG8" i="27"/>
  <c r="AF8" i="27"/>
  <c r="AB8" i="27"/>
  <c r="AA8" i="27"/>
  <c r="AC8" i="27" s="1"/>
  <c r="W8" i="27"/>
  <c r="X8" i="27" s="1"/>
  <c r="I8" i="27"/>
  <c r="AG7" i="27"/>
  <c r="AF7" i="27"/>
  <c r="AB7" i="27"/>
  <c r="AC7" i="27" s="1"/>
  <c r="AA7" i="27"/>
  <c r="W7" i="27"/>
  <c r="X7" i="27" s="1"/>
  <c r="AG6" i="27"/>
  <c r="AF6" i="27"/>
  <c r="AB6" i="27"/>
  <c r="AA6" i="27"/>
  <c r="AC6" i="27" s="1"/>
  <c r="W6" i="27"/>
  <c r="X6" i="27" s="1"/>
  <c r="AG5" i="27"/>
  <c r="AF5" i="27"/>
  <c r="AB5" i="27"/>
  <c r="AA5" i="27"/>
  <c r="AC5" i="27" s="1"/>
  <c r="W5" i="27"/>
  <c r="X5" i="27" s="1"/>
  <c r="N25" i="26"/>
  <c r="C25" i="26"/>
  <c r="D23" i="26" s="1"/>
  <c r="E23" i="26" s="1"/>
  <c r="B25" i="26"/>
  <c r="L14" i="26"/>
  <c r="I8" i="26" s="1"/>
  <c r="K14" i="26"/>
  <c r="I7" i="26" s="1"/>
  <c r="I13" i="26"/>
  <c r="AH12" i="26"/>
  <c r="AB12" i="26"/>
  <c r="AA12" i="26"/>
  <c r="AC12" i="26" s="1"/>
  <c r="W12" i="26"/>
  <c r="X12" i="26" s="1"/>
  <c r="AH11" i="26"/>
  <c r="AB11" i="26"/>
  <c r="AA11" i="26"/>
  <c r="AC11" i="26" s="1"/>
  <c r="W11" i="26"/>
  <c r="X11" i="26" s="1"/>
  <c r="AH10" i="26"/>
  <c r="AB10" i="26"/>
  <c r="AA10" i="26"/>
  <c r="AC10" i="26" s="1"/>
  <c r="W10" i="26"/>
  <c r="X10" i="26" s="1"/>
  <c r="AG9" i="26"/>
  <c r="AF9" i="26"/>
  <c r="AB9" i="26"/>
  <c r="AA9" i="26"/>
  <c r="AC9" i="26" s="1"/>
  <c r="W9" i="26"/>
  <c r="AG8" i="26"/>
  <c r="AF8" i="26"/>
  <c r="AB8" i="26"/>
  <c r="AA8" i="26"/>
  <c r="AC8" i="26" s="1"/>
  <c r="W8" i="26"/>
  <c r="X8" i="26" s="1"/>
  <c r="AG7" i="26"/>
  <c r="AF7" i="26"/>
  <c r="AB7" i="26"/>
  <c r="AB13" i="26" s="1"/>
  <c r="AA7" i="26"/>
  <c r="W7" i="26"/>
  <c r="X7" i="26" s="1"/>
  <c r="AG6" i="26"/>
  <c r="AF6" i="26"/>
  <c r="AB6" i="26"/>
  <c r="AA6" i="26"/>
  <c r="AC6" i="26" s="1"/>
  <c r="W6" i="26"/>
  <c r="X6" i="26" s="1"/>
  <c r="AG5" i="26"/>
  <c r="AF5" i="26"/>
  <c r="AB5" i="26"/>
  <c r="AA5" i="26"/>
  <c r="AC5" i="26" s="1"/>
  <c r="W5" i="26"/>
  <c r="X5" i="26" s="1"/>
  <c r="D25" i="26"/>
  <c r="I3" i="26" s="1"/>
  <c r="I1" i="26"/>
  <c r="N25" i="25"/>
  <c r="C25" i="25"/>
  <c r="D23" i="25" s="1"/>
  <c r="E23" i="25" s="1"/>
  <c r="B25" i="25"/>
  <c r="I1" i="25" s="1"/>
  <c r="L14" i="25"/>
  <c r="I8" i="25" s="1"/>
  <c r="K14" i="25"/>
  <c r="I7" i="25" s="1"/>
  <c r="I13" i="25"/>
  <c r="AH12" i="25"/>
  <c r="AB12" i="25"/>
  <c r="AA12" i="25"/>
  <c r="AC12" i="25" s="1"/>
  <c r="W12" i="25"/>
  <c r="X12" i="25" s="1"/>
  <c r="AH11" i="25"/>
  <c r="AB11" i="25"/>
  <c r="AA11" i="25"/>
  <c r="AC11" i="25" s="1"/>
  <c r="W11" i="25"/>
  <c r="X11" i="25" s="1"/>
  <c r="AH10" i="25"/>
  <c r="AB10" i="25"/>
  <c r="AA10" i="25"/>
  <c r="AC10" i="25" s="1"/>
  <c r="W10" i="25"/>
  <c r="X10" i="25" s="1"/>
  <c r="AG9" i="25"/>
  <c r="AF9" i="25"/>
  <c r="AB9" i="25"/>
  <c r="AA9" i="25"/>
  <c r="AC9" i="25" s="1"/>
  <c r="W9" i="25"/>
  <c r="AG8" i="25"/>
  <c r="AF8" i="25"/>
  <c r="AB8" i="25"/>
  <c r="AA8" i="25"/>
  <c r="AC8" i="25" s="1"/>
  <c r="W8" i="25"/>
  <c r="X8" i="25" s="1"/>
  <c r="AG7" i="25"/>
  <c r="AF7" i="25"/>
  <c r="AB7" i="25"/>
  <c r="AC7" i="25" s="1"/>
  <c r="AA7" i="25"/>
  <c r="W7" i="25"/>
  <c r="X7" i="25" s="1"/>
  <c r="AG6" i="25"/>
  <c r="AF6" i="25"/>
  <c r="AB6" i="25"/>
  <c r="AA6" i="25"/>
  <c r="AC6" i="25" s="1"/>
  <c r="W6" i="25"/>
  <c r="X6" i="25" s="1"/>
  <c r="AG5" i="25"/>
  <c r="AF5" i="25"/>
  <c r="AB5" i="25"/>
  <c r="AA5" i="25"/>
  <c r="AC5" i="25" s="1"/>
  <c r="W5" i="25"/>
  <c r="X5" i="25" s="1"/>
  <c r="N25" i="24"/>
  <c r="C25" i="24"/>
  <c r="B25" i="24"/>
  <c r="I1" i="24" s="1"/>
  <c r="L14" i="24"/>
  <c r="I8" i="24" s="1"/>
  <c r="K14" i="24"/>
  <c r="I7" i="24" s="1"/>
  <c r="I13" i="24"/>
  <c r="AH12" i="24"/>
  <c r="AB12" i="24"/>
  <c r="AA12" i="24"/>
  <c r="AC12" i="24" s="1"/>
  <c r="W12" i="24"/>
  <c r="X12" i="24" s="1"/>
  <c r="AH11" i="24"/>
  <c r="AB11" i="24"/>
  <c r="AA11" i="24"/>
  <c r="AC11" i="24" s="1"/>
  <c r="W11" i="24"/>
  <c r="X11" i="24" s="1"/>
  <c r="AH10" i="24"/>
  <c r="AB10" i="24"/>
  <c r="AA10" i="24"/>
  <c r="AC10" i="24" s="1"/>
  <c r="W10" i="24"/>
  <c r="X10" i="24" s="1"/>
  <c r="AG9" i="24"/>
  <c r="AF9" i="24"/>
  <c r="AB9" i="24"/>
  <c r="AA9" i="24"/>
  <c r="AC9" i="24" s="1"/>
  <c r="W9" i="24"/>
  <c r="X9" i="24" s="1"/>
  <c r="AG8" i="24"/>
  <c r="AF8" i="24"/>
  <c r="AB8" i="24"/>
  <c r="AA8" i="24"/>
  <c r="AC8" i="24" s="1"/>
  <c r="W8" i="24"/>
  <c r="X8" i="24" s="1"/>
  <c r="AG7" i="24"/>
  <c r="AF7" i="24"/>
  <c r="AB7" i="24"/>
  <c r="AB13" i="24" s="1"/>
  <c r="AA7" i="24"/>
  <c r="W7" i="24"/>
  <c r="X7" i="24" s="1"/>
  <c r="AG6" i="24"/>
  <c r="AF6" i="24"/>
  <c r="AB6" i="24"/>
  <c r="AA6" i="24"/>
  <c r="AC6" i="24" s="1"/>
  <c r="W6" i="24"/>
  <c r="X6" i="24" s="1"/>
  <c r="AG5" i="24"/>
  <c r="AF5" i="24"/>
  <c r="AB5" i="24"/>
  <c r="AA5" i="24"/>
  <c r="AC5" i="24" s="1"/>
  <c r="W5" i="24"/>
  <c r="X5" i="24" s="1"/>
  <c r="N25" i="23"/>
  <c r="C25" i="23"/>
  <c r="D23" i="23" s="1"/>
  <c r="E23" i="23" s="1"/>
  <c r="B25" i="23"/>
  <c r="I1" i="23" s="1"/>
  <c r="L14" i="23"/>
  <c r="K14" i="23"/>
  <c r="I7" i="23" s="1"/>
  <c r="I13" i="23"/>
  <c r="AH12" i="23"/>
  <c r="AB12" i="23"/>
  <c r="AA12" i="23"/>
  <c r="AC12" i="23" s="1"/>
  <c r="W12" i="23"/>
  <c r="X12" i="23" s="1"/>
  <c r="AH11" i="23"/>
  <c r="AB11" i="23"/>
  <c r="AA11" i="23"/>
  <c r="AC11" i="23" s="1"/>
  <c r="W11" i="23"/>
  <c r="X11" i="23" s="1"/>
  <c r="AH10" i="23"/>
  <c r="AB10" i="23"/>
  <c r="AA10" i="23"/>
  <c r="AC10" i="23" s="1"/>
  <c r="W10" i="23"/>
  <c r="X10" i="23" s="1"/>
  <c r="AG9" i="23"/>
  <c r="AF9" i="23"/>
  <c r="AB9" i="23"/>
  <c r="AA9" i="23"/>
  <c r="AC9" i="23" s="1"/>
  <c r="W9" i="23"/>
  <c r="AG8" i="23"/>
  <c r="AF8" i="23"/>
  <c r="AB8" i="23"/>
  <c r="AA8" i="23"/>
  <c r="AC8" i="23" s="1"/>
  <c r="W8" i="23"/>
  <c r="X8" i="23" s="1"/>
  <c r="I8" i="23"/>
  <c r="AG7" i="23"/>
  <c r="AF7" i="23"/>
  <c r="AB7" i="23"/>
  <c r="AC7" i="23" s="1"/>
  <c r="AA7" i="23"/>
  <c r="W7" i="23"/>
  <c r="X7" i="23" s="1"/>
  <c r="AG6" i="23"/>
  <c r="AF6" i="23"/>
  <c r="AB6" i="23"/>
  <c r="AA6" i="23"/>
  <c r="AC6" i="23" s="1"/>
  <c r="W6" i="23"/>
  <c r="X6" i="23" s="1"/>
  <c r="AG5" i="23"/>
  <c r="AF5" i="23"/>
  <c r="AB5" i="23"/>
  <c r="AA5" i="23"/>
  <c r="AC5" i="23" s="1"/>
  <c r="W5" i="23"/>
  <c r="X5" i="23" s="1"/>
  <c r="N25" i="22"/>
  <c r="C25" i="22"/>
  <c r="B25" i="22"/>
  <c r="I1" i="22" s="1"/>
  <c r="L14" i="22"/>
  <c r="K14" i="22"/>
  <c r="I7" i="22" s="1"/>
  <c r="I13" i="22"/>
  <c r="AH12" i="22"/>
  <c r="AB12" i="22"/>
  <c r="AA12" i="22"/>
  <c r="AC12" i="22" s="1"/>
  <c r="W12" i="22"/>
  <c r="X12" i="22" s="1"/>
  <c r="AH11" i="22"/>
  <c r="AB11" i="22"/>
  <c r="AA11" i="22"/>
  <c r="AC11" i="22" s="1"/>
  <c r="W11" i="22"/>
  <c r="X11" i="22" s="1"/>
  <c r="AH10" i="22"/>
  <c r="AB10" i="22"/>
  <c r="AA10" i="22"/>
  <c r="AC10" i="22" s="1"/>
  <c r="W10" i="22"/>
  <c r="X10" i="22" s="1"/>
  <c r="AG9" i="22"/>
  <c r="AF9" i="22"/>
  <c r="AB9" i="22"/>
  <c r="AA9" i="22"/>
  <c r="AC9" i="22" s="1"/>
  <c r="W9" i="22"/>
  <c r="AG8" i="22"/>
  <c r="AF8" i="22"/>
  <c r="AB8" i="22"/>
  <c r="AA8" i="22"/>
  <c r="AC8" i="22" s="1"/>
  <c r="W8" i="22"/>
  <c r="X8" i="22" s="1"/>
  <c r="I8" i="22"/>
  <c r="AG7" i="22"/>
  <c r="AF7" i="22"/>
  <c r="AB7" i="22"/>
  <c r="AB13" i="22" s="1"/>
  <c r="AA7" i="22"/>
  <c r="W7" i="22"/>
  <c r="X7" i="22" s="1"/>
  <c r="AG6" i="22"/>
  <c r="AF6" i="22"/>
  <c r="AB6" i="22"/>
  <c r="AA6" i="22"/>
  <c r="AC6" i="22" s="1"/>
  <c r="W6" i="22"/>
  <c r="X6" i="22" s="1"/>
  <c r="AG5" i="22"/>
  <c r="AF5" i="22"/>
  <c r="AB5" i="22"/>
  <c r="AA5" i="22"/>
  <c r="AC5" i="22" s="1"/>
  <c r="W5" i="22"/>
  <c r="X5" i="22" s="1"/>
  <c r="N25" i="21"/>
  <c r="C25" i="21"/>
  <c r="D23" i="21" s="1"/>
  <c r="E23" i="21" s="1"/>
  <c r="B25" i="21"/>
  <c r="I1" i="21" s="1"/>
  <c r="L14" i="21"/>
  <c r="K14" i="21"/>
  <c r="I7" i="21" s="1"/>
  <c r="I13" i="21"/>
  <c r="AH12" i="21"/>
  <c r="AB12" i="21"/>
  <c r="AA12" i="21"/>
  <c r="AC12" i="21" s="1"/>
  <c r="W12" i="21"/>
  <c r="X12" i="21" s="1"/>
  <c r="AH11" i="21"/>
  <c r="AB11" i="21"/>
  <c r="AA11" i="21"/>
  <c r="AC11" i="21" s="1"/>
  <c r="W11" i="21"/>
  <c r="X11" i="21" s="1"/>
  <c r="AH10" i="21"/>
  <c r="AB10" i="21"/>
  <c r="AA10" i="21"/>
  <c r="AC10" i="21" s="1"/>
  <c r="W10" i="21"/>
  <c r="X10" i="21" s="1"/>
  <c r="AG9" i="21"/>
  <c r="AF9" i="21"/>
  <c r="AB9" i="21"/>
  <c r="AA9" i="21"/>
  <c r="AC9" i="21" s="1"/>
  <c r="W9" i="21"/>
  <c r="X9" i="21" s="1"/>
  <c r="AG8" i="21"/>
  <c r="AF8" i="21"/>
  <c r="AB8" i="21"/>
  <c r="AA8" i="21"/>
  <c r="AC8" i="21" s="1"/>
  <c r="W8" i="21"/>
  <c r="X8" i="21" s="1"/>
  <c r="I8" i="21"/>
  <c r="AG7" i="21"/>
  <c r="AF7" i="21"/>
  <c r="AB7" i="21"/>
  <c r="AC7" i="21" s="1"/>
  <c r="AA7" i="21"/>
  <c r="W7" i="21"/>
  <c r="X7" i="21" s="1"/>
  <c r="AG6" i="21"/>
  <c r="AF6" i="21"/>
  <c r="AB6" i="21"/>
  <c r="AA6" i="21"/>
  <c r="AC6" i="21" s="1"/>
  <c r="W6" i="21"/>
  <c r="X6" i="21" s="1"/>
  <c r="AG5" i="21"/>
  <c r="AF5" i="21"/>
  <c r="AB5" i="21"/>
  <c r="AA5" i="21"/>
  <c r="AC5" i="21" s="1"/>
  <c r="W5" i="21"/>
  <c r="X5" i="21" s="1"/>
  <c r="N25" i="20"/>
  <c r="C25" i="20"/>
  <c r="B25" i="20"/>
  <c r="I1" i="20" s="1"/>
  <c r="L14" i="20"/>
  <c r="K14" i="20"/>
  <c r="I7" i="20" s="1"/>
  <c r="I13" i="20"/>
  <c r="AH12" i="20"/>
  <c r="AB12" i="20"/>
  <c r="AA12" i="20"/>
  <c r="AC12" i="20" s="1"/>
  <c r="W12" i="20"/>
  <c r="X12" i="20" s="1"/>
  <c r="AH11" i="20"/>
  <c r="AB11" i="20"/>
  <c r="AA11" i="20"/>
  <c r="AC11" i="20" s="1"/>
  <c r="W11" i="20"/>
  <c r="X11" i="20" s="1"/>
  <c r="AH10" i="20"/>
  <c r="AB10" i="20"/>
  <c r="AA10" i="20"/>
  <c r="AC10" i="20" s="1"/>
  <c r="W10" i="20"/>
  <c r="X10" i="20" s="1"/>
  <c r="AG9" i="20"/>
  <c r="AF9" i="20"/>
  <c r="AB9" i="20"/>
  <c r="AA9" i="20"/>
  <c r="AC9" i="20" s="1"/>
  <c r="W9" i="20"/>
  <c r="X9" i="20" s="1"/>
  <c r="AG8" i="20"/>
  <c r="AF8" i="20"/>
  <c r="AB8" i="20"/>
  <c r="AA8" i="20"/>
  <c r="AC8" i="20" s="1"/>
  <c r="W8" i="20"/>
  <c r="X8" i="20" s="1"/>
  <c r="I8" i="20"/>
  <c r="AG7" i="20"/>
  <c r="AF7" i="20"/>
  <c r="AB7" i="20"/>
  <c r="AC7" i="20" s="1"/>
  <c r="AA7" i="20"/>
  <c r="W7" i="20"/>
  <c r="X7" i="20" s="1"/>
  <c r="AG6" i="20"/>
  <c r="AF6" i="20"/>
  <c r="AB6" i="20"/>
  <c r="AA6" i="20"/>
  <c r="AC6" i="20" s="1"/>
  <c r="W6" i="20"/>
  <c r="X6" i="20" s="1"/>
  <c r="AG5" i="20"/>
  <c r="AF5" i="20"/>
  <c r="AB5" i="20"/>
  <c r="AA5" i="20"/>
  <c r="AC5" i="20" s="1"/>
  <c r="W5" i="20"/>
  <c r="X5" i="20" s="1"/>
  <c r="N25" i="19"/>
  <c r="C25" i="19"/>
  <c r="B25" i="19"/>
  <c r="I1" i="19" s="1"/>
  <c r="L14" i="19"/>
  <c r="K14" i="19"/>
  <c r="I7" i="19" s="1"/>
  <c r="I13" i="19"/>
  <c r="AH12" i="19"/>
  <c r="AB12" i="19"/>
  <c r="AA12" i="19"/>
  <c r="AC12" i="19" s="1"/>
  <c r="W12" i="19"/>
  <c r="X12" i="19" s="1"/>
  <c r="AH11" i="19"/>
  <c r="AB11" i="19"/>
  <c r="AA11" i="19"/>
  <c r="AC11" i="19" s="1"/>
  <c r="W11" i="19"/>
  <c r="X11" i="19" s="1"/>
  <c r="AH10" i="19"/>
  <c r="AB10" i="19"/>
  <c r="AA10" i="19"/>
  <c r="AC10" i="19" s="1"/>
  <c r="W10" i="19"/>
  <c r="X10" i="19" s="1"/>
  <c r="AG9" i="19"/>
  <c r="AF9" i="19"/>
  <c r="AB9" i="19"/>
  <c r="AA9" i="19"/>
  <c r="AC9" i="19" s="1"/>
  <c r="W9" i="19"/>
  <c r="AG8" i="19"/>
  <c r="AF8" i="19"/>
  <c r="AB8" i="19"/>
  <c r="AA8" i="19"/>
  <c r="AC8" i="19" s="1"/>
  <c r="W8" i="19"/>
  <c r="X8" i="19" s="1"/>
  <c r="I8" i="19"/>
  <c r="AG7" i="19"/>
  <c r="AF7" i="19"/>
  <c r="AB7" i="19"/>
  <c r="AB13" i="19" s="1"/>
  <c r="AA7" i="19"/>
  <c r="W7" i="19"/>
  <c r="X7" i="19" s="1"/>
  <c r="AG6" i="19"/>
  <c r="AF6" i="19"/>
  <c r="AB6" i="19"/>
  <c r="AA6" i="19"/>
  <c r="AC6" i="19" s="1"/>
  <c r="W6" i="19"/>
  <c r="X6" i="19" s="1"/>
  <c r="AG5" i="19"/>
  <c r="AF5" i="19"/>
  <c r="AB5" i="19"/>
  <c r="AA5" i="19"/>
  <c r="AC5" i="19" s="1"/>
  <c r="W5" i="19"/>
  <c r="X5" i="19" s="1"/>
  <c r="N25" i="18"/>
  <c r="C25" i="18"/>
  <c r="B25" i="18"/>
  <c r="I1" i="18" s="1"/>
  <c r="L14" i="18"/>
  <c r="K14" i="18"/>
  <c r="I7" i="18" s="1"/>
  <c r="I13" i="18"/>
  <c r="AH12" i="18"/>
  <c r="AB12" i="18"/>
  <c r="AA12" i="18"/>
  <c r="AC12" i="18" s="1"/>
  <c r="W12" i="18"/>
  <c r="X12" i="18" s="1"/>
  <c r="AH11" i="18"/>
  <c r="AB11" i="18"/>
  <c r="AA11" i="18"/>
  <c r="AC11" i="18" s="1"/>
  <c r="W11" i="18"/>
  <c r="X11" i="18" s="1"/>
  <c r="AH10" i="18"/>
  <c r="AB10" i="18"/>
  <c r="AA10" i="18"/>
  <c r="AC10" i="18" s="1"/>
  <c r="W10" i="18"/>
  <c r="X10" i="18" s="1"/>
  <c r="AG9" i="18"/>
  <c r="AF9" i="18"/>
  <c r="AB9" i="18"/>
  <c r="AA9" i="18"/>
  <c r="AC9" i="18" s="1"/>
  <c r="W9" i="18"/>
  <c r="X9" i="18" s="1"/>
  <c r="AG8" i="18"/>
  <c r="AF8" i="18"/>
  <c r="AB8" i="18"/>
  <c r="AA8" i="18"/>
  <c r="AC8" i="18" s="1"/>
  <c r="W8" i="18"/>
  <c r="X8" i="18" s="1"/>
  <c r="I8" i="18"/>
  <c r="AG7" i="18"/>
  <c r="AF7" i="18"/>
  <c r="AB7" i="18"/>
  <c r="AC7" i="18" s="1"/>
  <c r="AA7" i="18"/>
  <c r="W7" i="18"/>
  <c r="X7" i="18" s="1"/>
  <c r="AG6" i="18"/>
  <c r="AF6" i="18"/>
  <c r="AB6" i="18"/>
  <c r="AA6" i="18"/>
  <c r="AC6" i="18" s="1"/>
  <c r="W6" i="18"/>
  <c r="X6" i="18" s="1"/>
  <c r="AG5" i="18"/>
  <c r="AF5" i="18"/>
  <c r="AB5" i="18"/>
  <c r="AA5" i="18"/>
  <c r="AC5" i="18" s="1"/>
  <c r="W5" i="18"/>
  <c r="X5" i="18" s="1"/>
  <c r="N25" i="17"/>
  <c r="C25" i="17"/>
  <c r="B25" i="17"/>
  <c r="I1" i="17" s="1"/>
  <c r="L14" i="17"/>
  <c r="K14" i="17"/>
  <c r="I7" i="17" s="1"/>
  <c r="I13" i="17"/>
  <c r="AH12" i="17"/>
  <c r="AB12" i="17"/>
  <c r="AA12" i="17"/>
  <c r="AC12" i="17" s="1"/>
  <c r="W12" i="17"/>
  <c r="X12" i="17" s="1"/>
  <c r="AH11" i="17"/>
  <c r="AB11" i="17"/>
  <c r="AA11" i="17"/>
  <c r="AC11" i="17" s="1"/>
  <c r="W11" i="17"/>
  <c r="X11" i="17" s="1"/>
  <c r="AH10" i="17"/>
  <c r="AB10" i="17"/>
  <c r="AA10" i="17"/>
  <c r="AC10" i="17" s="1"/>
  <c r="W10" i="17"/>
  <c r="X10" i="17" s="1"/>
  <c r="AG9" i="17"/>
  <c r="AF9" i="17"/>
  <c r="AB9" i="17"/>
  <c r="AA9" i="17"/>
  <c r="AA13" i="17" s="1"/>
  <c r="W9" i="17"/>
  <c r="X9" i="17" s="1"/>
  <c r="AG8" i="17"/>
  <c r="AF8" i="17"/>
  <c r="AB8" i="17"/>
  <c r="AA8" i="17"/>
  <c r="AC8" i="17" s="1"/>
  <c r="W8" i="17"/>
  <c r="X8" i="17" s="1"/>
  <c r="I8" i="17"/>
  <c r="AG7" i="17"/>
  <c r="AF7" i="17"/>
  <c r="AB7" i="17"/>
  <c r="AB13" i="17" s="1"/>
  <c r="AA7" i="17"/>
  <c r="W7" i="17"/>
  <c r="X7" i="17" s="1"/>
  <c r="AG6" i="17"/>
  <c r="AF6" i="17"/>
  <c r="AB6" i="17"/>
  <c r="AA6" i="17"/>
  <c r="AC6" i="17" s="1"/>
  <c r="W6" i="17"/>
  <c r="X6" i="17" s="1"/>
  <c r="AG5" i="17"/>
  <c r="AF5" i="17"/>
  <c r="AB5" i="17"/>
  <c r="AA5" i="17"/>
  <c r="AC5" i="17" s="1"/>
  <c r="W5" i="17"/>
  <c r="X5" i="17" s="1"/>
  <c r="N25" i="16"/>
  <c r="C25" i="16"/>
  <c r="B25" i="16"/>
  <c r="I1" i="16" s="1"/>
  <c r="L14" i="16"/>
  <c r="K14" i="16"/>
  <c r="I7" i="16" s="1"/>
  <c r="I13" i="16"/>
  <c r="AH12" i="16"/>
  <c r="AB12" i="16"/>
  <c r="AA12" i="16"/>
  <c r="AC12" i="16" s="1"/>
  <c r="W12" i="16"/>
  <c r="X12" i="16" s="1"/>
  <c r="AH11" i="16"/>
  <c r="AB11" i="16"/>
  <c r="AA11" i="16"/>
  <c r="AC11" i="16" s="1"/>
  <c r="W11" i="16"/>
  <c r="X11" i="16" s="1"/>
  <c r="AH10" i="16"/>
  <c r="AB10" i="16"/>
  <c r="AA10" i="16"/>
  <c r="AC10" i="16" s="1"/>
  <c r="W10" i="16"/>
  <c r="X10" i="16" s="1"/>
  <c r="AG9" i="16"/>
  <c r="AF9" i="16"/>
  <c r="AB9" i="16"/>
  <c r="AA9" i="16"/>
  <c r="AC9" i="16" s="1"/>
  <c r="W9" i="16"/>
  <c r="X9" i="16" s="1"/>
  <c r="AG8" i="16"/>
  <c r="AF8" i="16"/>
  <c r="AB8" i="16"/>
  <c r="AA8" i="16"/>
  <c r="AC8" i="16" s="1"/>
  <c r="W8" i="16"/>
  <c r="X8" i="16" s="1"/>
  <c r="I8" i="16"/>
  <c r="AG7" i="16"/>
  <c r="AF7" i="16"/>
  <c r="AB7" i="16"/>
  <c r="AC7" i="16" s="1"/>
  <c r="AA7" i="16"/>
  <c r="W7" i="16"/>
  <c r="X7" i="16" s="1"/>
  <c r="AG6" i="16"/>
  <c r="AF6" i="16"/>
  <c r="AB6" i="16"/>
  <c r="AA6" i="16"/>
  <c r="AC6" i="16" s="1"/>
  <c r="W6" i="16"/>
  <c r="X6" i="16" s="1"/>
  <c r="AG5" i="16"/>
  <c r="AF5" i="16"/>
  <c r="AB5" i="16"/>
  <c r="AA5" i="16"/>
  <c r="AC5" i="16" s="1"/>
  <c r="W5" i="16"/>
  <c r="X5" i="16" s="1"/>
  <c r="N25" i="15"/>
  <c r="C25" i="15"/>
  <c r="B25" i="15"/>
  <c r="I1" i="15" s="1"/>
  <c r="L14" i="15"/>
  <c r="K14" i="15"/>
  <c r="I7" i="15" s="1"/>
  <c r="I13" i="15"/>
  <c r="AH12" i="15"/>
  <c r="AB12" i="15"/>
  <c r="AA12" i="15"/>
  <c r="AC12" i="15" s="1"/>
  <c r="W12" i="15"/>
  <c r="X12" i="15" s="1"/>
  <c r="AH11" i="15"/>
  <c r="AB11" i="15"/>
  <c r="AA11" i="15"/>
  <c r="AC11" i="15" s="1"/>
  <c r="W11" i="15"/>
  <c r="X11" i="15" s="1"/>
  <c r="AH10" i="15"/>
  <c r="AB10" i="15"/>
  <c r="AA10" i="15"/>
  <c r="AC10" i="15" s="1"/>
  <c r="W10" i="15"/>
  <c r="X10" i="15" s="1"/>
  <c r="AG9" i="15"/>
  <c r="AF9" i="15"/>
  <c r="AB9" i="15"/>
  <c r="AA9" i="15"/>
  <c r="AA13" i="15" s="1"/>
  <c r="W9" i="15"/>
  <c r="X9" i="15" s="1"/>
  <c r="AG8" i="15"/>
  <c r="AF8" i="15"/>
  <c r="AB8" i="15"/>
  <c r="AA8" i="15"/>
  <c r="AC8" i="15" s="1"/>
  <c r="W8" i="15"/>
  <c r="X8" i="15" s="1"/>
  <c r="I8" i="15"/>
  <c r="AG7" i="15"/>
  <c r="AF7" i="15"/>
  <c r="AB7" i="15"/>
  <c r="AB13" i="15" s="1"/>
  <c r="AA7" i="15"/>
  <c r="W7" i="15"/>
  <c r="X7" i="15" s="1"/>
  <c r="AG6" i="15"/>
  <c r="AF6" i="15"/>
  <c r="AB6" i="15"/>
  <c r="AA6" i="15"/>
  <c r="AC6" i="15" s="1"/>
  <c r="W6" i="15"/>
  <c r="X6" i="15" s="1"/>
  <c r="AG5" i="15"/>
  <c r="AF5" i="15"/>
  <c r="AB5" i="15"/>
  <c r="AA5" i="15"/>
  <c r="AC5" i="15" s="1"/>
  <c r="W5" i="15"/>
  <c r="X5" i="15" s="1"/>
  <c r="N25" i="14"/>
  <c r="C25" i="14"/>
  <c r="B25" i="14"/>
  <c r="I1" i="14" s="1"/>
  <c r="L14" i="14"/>
  <c r="K14" i="14"/>
  <c r="I7" i="14" s="1"/>
  <c r="I13" i="14"/>
  <c r="AH12" i="14"/>
  <c r="AB12" i="14"/>
  <c r="AA12" i="14"/>
  <c r="AC12" i="14" s="1"/>
  <c r="W12" i="14"/>
  <c r="X12" i="14" s="1"/>
  <c r="AH11" i="14"/>
  <c r="AB11" i="14"/>
  <c r="AA11" i="14"/>
  <c r="AC11" i="14" s="1"/>
  <c r="W11" i="14"/>
  <c r="X11" i="14" s="1"/>
  <c r="AH10" i="14"/>
  <c r="AB10" i="14"/>
  <c r="AA10" i="14"/>
  <c r="AC10" i="14" s="1"/>
  <c r="W10" i="14"/>
  <c r="X10" i="14" s="1"/>
  <c r="AG9" i="14"/>
  <c r="AF9" i="14"/>
  <c r="AB9" i="14"/>
  <c r="AA9" i="14"/>
  <c r="AA13" i="14" s="1"/>
  <c r="W9" i="14"/>
  <c r="AG8" i="14"/>
  <c r="AF8" i="14"/>
  <c r="AB8" i="14"/>
  <c r="AA8" i="14"/>
  <c r="AC8" i="14" s="1"/>
  <c r="W8" i="14"/>
  <c r="X8" i="14" s="1"/>
  <c r="I8" i="14"/>
  <c r="AG7" i="14"/>
  <c r="AF7" i="14"/>
  <c r="AB7" i="14"/>
  <c r="AC7" i="14" s="1"/>
  <c r="AA7" i="14"/>
  <c r="W7" i="14"/>
  <c r="X7" i="14" s="1"/>
  <c r="AG6" i="14"/>
  <c r="AF6" i="14"/>
  <c r="AB6" i="14"/>
  <c r="AA6" i="14"/>
  <c r="AC6" i="14" s="1"/>
  <c r="W6" i="14"/>
  <c r="X6" i="14" s="1"/>
  <c r="AG5" i="14"/>
  <c r="AF5" i="14"/>
  <c r="AB5" i="14"/>
  <c r="AA5" i="14"/>
  <c r="AC5" i="14" s="1"/>
  <c r="W5" i="14"/>
  <c r="X5" i="14" s="1"/>
  <c r="N25" i="13"/>
  <c r="C25" i="13"/>
  <c r="D23" i="13" s="1"/>
  <c r="E23" i="13" s="1"/>
  <c r="B25" i="13"/>
  <c r="I1" i="13" s="1"/>
  <c r="L14" i="13"/>
  <c r="R8" i="9" s="1"/>
  <c r="K14" i="13"/>
  <c r="I7" i="13" s="1"/>
  <c r="I13" i="13"/>
  <c r="AH12" i="13"/>
  <c r="AB12" i="13"/>
  <c r="AA12" i="13"/>
  <c r="AC12" i="13" s="1"/>
  <c r="W12" i="13"/>
  <c r="X12" i="13" s="1"/>
  <c r="AH11" i="13"/>
  <c r="AB11" i="13"/>
  <c r="AA11" i="13"/>
  <c r="AC11" i="13" s="1"/>
  <c r="W11" i="13"/>
  <c r="X11" i="13" s="1"/>
  <c r="AH10" i="13"/>
  <c r="AB10" i="13"/>
  <c r="AA10" i="13"/>
  <c r="AC10" i="13" s="1"/>
  <c r="W10" i="13"/>
  <c r="X10" i="13" s="1"/>
  <c r="AG9" i="13"/>
  <c r="AF9" i="13"/>
  <c r="AB9" i="13"/>
  <c r="AA9" i="13"/>
  <c r="AC9" i="13" s="1"/>
  <c r="W9" i="13"/>
  <c r="AG8" i="13"/>
  <c r="AF8" i="13"/>
  <c r="AB8" i="13"/>
  <c r="AA8" i="13"/>
  <c r="AC8" i="13" s="1"/>
  <c r="W8" i="13"/>
  <c r="X8" i="13" s="1"/>
  <c r="AG7" i="13"/>
  <c r="AF7" i="13"/>
  <c r="AB7" i="13"/>
  <c r="AB13" i="13" s="1"/>
  <c r="AA7" i="13"/>
  <c r="W7" i="13"/>
  <c r="X7" i="13" s="1"/>
  <c r="AG6" i="13"/>
  <c r="AF6" i="13"/>
  <c r="AB6" i="13"/>
  <c r="AA6" i="13"/>
  <c r="AC6" i="13" s="1"/>
  <c r="W6" i="13"/>
  <c r="X6" i="13" s="1"/>
  <c r="AG5" i="13"/>
  <c r="AF5" i="13"/>
  <c r="AB5" i="13"/>
  <c r="AA5" i="13"/>
  <c r="AC5" i="13" s="1"/>
  <c r="W5" i="13"/>
  <c r="X5" i="13" s="1"/>
  <c r="N25" i="12"/>
  <c r="C25" i="12"/>
  <c r="B25" i="12"/>
  <c r="I1" i="12" s="1"/>
  <c r="L14" i="12"/>
  <c r="K14" i="12"/>
  <c r="I7" i="12" s="1"/>
  <c r="I13" i="12"/>
  <c r="AH12" i="12"/>
  <c r="AB12" i="12"/>
  <c r="AA12" i="12"/>
  <c r="AC12" i="12" s="1"/>
  <c r="W12" i="12"/>
  <c r="X12" i="12" s="1"/>
  <c r="AH11" i="12"/>
  <c r="AB11" i="12"/>
  <c r="AA11" i="12"/>
  <c r="AC11" i="12" s="1"/>
  <c r="W11" i="12"/>
  <c r="X11" i="12" s="1"/>
  <c r="AH10" i="12"/>
  <c r="AB10" i="12"/>
  <c r="AA10" i="12"/>
  <c r="AC10" i="12" s="1"/>
  <c r="W10" i="12"/>
  <c r="X10" i="12" s="1"/>
  <c r="AG9" i="12"/>
  <c r="AF9" i="12"/>
  <c r="AB9" i="12"/>
  <c r="AA9" i="12"/>
  <c r="AC9" i="12" s="1"/>
  <c r="W9" i="12"/>
  <c r="AG8" i="12"/>
  <c r="AF8" i="12"/>
  <c r="AB8" i="12"/>
  <c r="AA8" i="12"/>
  <c r="AC8" i="12" s="1"/>
  <c r="W8" i="12"/>
  <c r="X8" i="12" s="1"/>
  <c r="I8" i="12"/>
  <c r="AG7" i="12"/>
  <c r="AF7" i="12"/>
  <c r="AB7" i="12"/>
  <c r="AB13" i="12" s="1"/>
  <c r="AA7" i="12"/>
  <c r="W7" i="12"/>
  <c r="X7" i="12" s="1"/>
  <c r="AG6" i="12"/>
  <c r="AF6" i="12"/>
  <c r="AB6" i="12"/>
  <c r="AA6" i="12"/>
  <c r="AC6" i="12" s="1"/>
  <c r="W6" i="12"/>
  <c r="X6" i="12" s="1"/>
  <c r="AG5" i="12"/>
  <c r="AF5" i="12"/>
  <c r="AB5" i="12"/>
  <c r="AA5" i="12"/>
  <c r="AC5" i="12" s="1"/>
  <c r="W5" i="12"/>
  <c r="X5" i="12" s="1"/>
  <c r="N25" i="11"/>
  <c r="C25" i="11"/>
  <c r="B25" i="11"/>
  <c r="I1" i="11" s="1"/>
  <c r="L14" i="11"/>
  <c r="K14" i="11"/>
  <c r="I7" i="11" s="1"/>
  <c r="I13" i="11"/>
  <c r="AH12" i="11"/>
  <c r="AB12" i="11"/>
  <c r="AA12" i="11"/>
  <c r="AC12" i="11" s="1"/>
  <c r="W12" i="11"/>
  <c r="X12" i="11" s="1"/>
  <c r="AH11" i="11"/>
  <c r="AB11" i="11"/>
  <c r="AA11" i="11"/>
  <c r="AC11" i="11" s="1"/>
  <c r="W11" i="11"/>
  <c r="X11" i="11" s="1"/>
  <c r="AH10" i="11"/>
  <c r="AB10" i="11"/>
  <c r="AA10" i="11"/>
  <c r="AC10" i="11" s="1"/>
  <c r="W10" i="11"/>
  <c r="X10" i="11" s="1"/>
  <c r="AG9" i="11"/>
  <c r="AF9" i="11"/>
  <c r="AB9" i="11"/>
  <c r="AA9" i="11"/>
  <c r="AC9" i="11" s="1"/>
  <c r="W9" i="11"/>
  <c r="AG8" i="11"/>
  <c r="AF8" i="11"/>
  <c r="AB8" i="11"/>
  <c r="AA8" i="11"/>
  <c r="AC8" i="11" s="1"/>
  <c r="W8" i="11"/>
  <c r="X8" i="11" s="1"/>
  <c r="I8" i="11"/>
  <c r="AG7" i="11"/>
  <c r="AF7" i="11"/>
  <c r="AB7" i="11"/>
  <c r="AB13" i="11" s="1"/>
  <c r="AA7" i="11"/>
  <c r="W7" i="11"/>
  <c r="X7" i="11" s="1"/>
  <c r="AG6" i="11"/>
  <c r="AF6" i="11"/>
  <c r="AB6" i="11"/>
  <c r="AA6" i="11"/>
  <c r="AC6" i="11" s="1"/>
  <c r="W6" i="11"/>
  <c r="X6" i="11" s="1"/>
  <c r="AG5" i="11"/>
  <c r="AF5" i="11"/>
  <c r="AB5" i="11"/>
  <c r="AA5" i="11"/>
  <c r="AC5" i="11" s="1"/>
  <c r="W5" i="11"/>
  <c r="X5" i="11" s="1"/>
  <c r="N25" i="6"/>
  <c r="C25" i="6"/>
  <c r="D23" i="6" s="1"/>
  <c r="E23" i="6" s="1"/>
  <c r="B25" i="6"/>
  <c r="I1" i="6" s="1"/>
  <c r="L14" i="6"/>
  <c r="R5" i="9" s="1"/>
  <c r="K14" i="6"/>
  <c r="I7" i="6" s="1"/>
  <c r="I13" i="6"/>
  <c r="AH12" i="6"/>
  <c r="AB12" i="6"/>
  <c r="AA12" i="6"/>
  <c r="AC12" i="6" s="1"/>
  <c r="W12" i="6"/>
  <c r="X12" i="6" s="1"/>
  <c r="AH11" i="6"/>
  <c r="AB11" i="6"/>
  <c r="AA11" i="6"/>
  <c r="AC11" i="6" s="1"/>
  <c r="W11" i="6"/>
  <c r="X11" i="6" s="1"/>
  <c r="AH10" i="6"/>
  <c r="AB10" i="6"/>
  <c r="AA10" i="6"/>
  <c r="AC10" i="6" s="1"/>
  <c r="W10" i="6"/>
  <c r="X10" i="6" s="1"/>
  <c r="AG9" i="6"/>
  <c r="AF9" i="6"/>
  <c r="AB9" i="6"/>
  <c r="AA9" i="6"/>
  <c r="AC9" i="6" s="1"/>
  <c r="W9" i="6"/>
  <c r="AG8" i="6"/>
  <c r="AF8" i="6"/>
  <c r="AB8" i="6"/>
  <c r="AA8" i="6"/>
  <c r="AC8" i="6" s="1"/>
  <c r="W8" i="6"/>
  <c r="X8" i="6" s="1"/>
  <c r="AG7" i="6"/>
  <c r="AF7" i="6"/>
  <c r="AB7" i="6"/>
  <c r="AC7" i="6" s="1"/>
  <c r="AA7" i="6"/>
  <c r="W7" i="6"/>
  <c r="X7" i="6" s="1"/>
  <c r="AG6" i="6"/>
  <c r="AF6" i="6"/>
  <c r="AB6" i="6"/>
  <c r="AA6" i="6"/>
  <c r="AC6" i="6" s="1"/>
  <c r="W6" i="6"/>
  <c r="X6" i="6" s="1"/>
  <c r="AG5" i="6"/>
  <c r="AF5" i="6"/>
  <c r="AB5" i="6"/>
  <c r="AA5" i="6"/>
  <c r="AC5" i="6" s="1"/>
  <c r="W5" i="6"/>
  <c r="X5" i="6" s="1"/>
  <c r="AH10" i="2"/>
  <c r="AH11" i="2"/>
  <c r="AH12" i="2"/>
  <c r="AG9" i="2"/>
  <c r="AG8" i="2"/>
  <c r="AG7" i="2"/>
  <c r="AG6" i="2"/>
  <c r="AG5" i="2"/>
  <c r="AF9" i="2"/>
  <c r="AF8" i="2"/>
  <c r="AF7" i="2"/>
  <c r="AF6" i="2"/>
  <c r="AF5" i="2"/>
  <c r="AB12" i="2"/>
  <c r="AB11" i="2"/>
  <c r="AB10" i="2"/>
  <c r="AB9" i="2"/>
  <c r="AB8" i="2"/>
  <c r="AB7" i="2"/>
  <c r="AB6" i="2"/>
  <c r="AB5" i="2"/>
  <c r="AA7" i="2"/>
  <c r="AA12" i="2"/>
  <c r="AA11" i="2"/>
  <c r="AA10" i="2"/>
  <c r="AA9" i="2"/>
  <c r="AA8" i="2"/>
  <c r="AA6" i="2"/>
  <c r="AA5" i="2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W6" i="2"/>
  <c r="X6" i="2" s="1"/>
  <c r="W5" i="2"/>
  <c r="X5" i="2" s="1"/>
  <c r="I8" i="13" l="1"/>
  <c r="Q5" i="9"/>
  <c r="I8" i="6"/>
  <c r="I5" i="36"/>
  <c r="D25" i="33"/>
  <c r="I3" i="33" s="1"/>
  <c r="I2" i="33"/>
  <c r="I5" i="33" s="1"/>
  <c r="I5" i="32"/>
  <c r="D25" i="30"/>
  <c r="I3" i="30" s="1"/>
  <c r="I2" i="26"/>
  <c r="I12" i="26" s="1"/>
  <c r="M6" i="10"/>
  <c r="M5" i="10"/>
  <c r="M7" i="10"/>
  <c r="M4" i="10"/>
  <c r="I12" i="3"/>
  <c r="M3" i="10"/>
  <c r="L5" i="10"/>
  <c r="L6" i="10"/>
  <c r="L7" i="10"/>
  <c r="L4" i="10"/>
  <c r="L3" i="10"/>
  <c r="I5" i="10"/>
  <c r="I10" i="10"/>
  <c r="I7" i="10"/>
  <c r="H11" i="10"/>
  <c r="AC10" i="3"/>
  <c r="G8" i="10"/>
  <c r="I8" i="10" s="1"/>
  <c r="AC11" i="3"/>
  <c r="G9" i="10"/>
  <c r="I9" i="10" s="1"/>
  <c r="AC8" i="3"/>
  <c r="G6" i="10"/>
  <c r="I6" i="10" s="1"/>
  <c r="AC6" i="3"/>
  <c r="G4" i="10"/>
  <c r="I4" i="10" s="1"/>
  <c r="AC12" i="3"/>
  <c r="AC5" i="3"/>
  <c r="G3" i="10"/>
  <c r="AC7" i="3"/>
  <c r="AA13" i="3"/>
  <c r="I2" i="39"/>
  <c r="I5" i="39" s="1"/>
  <c r="D23" i="39"/>
  <c r="E23" i="39" s="1"/>
  <c r="I12" i="38"/>
  <c r="I2" i="37"/>
  <c r="I5" i="37" s="1"/>
  <c r="I12" i="37"/>
  <c r="I2" i="35"/>
  <c r="I12" i="35" s="1"/>
  <c r="D23" i="35"/>
  <c r="D25" i="32"/>
  <c r="I3" i="32" s="1"/>
  <c r="I2" i="31"/>
  <c r="I5" i="31" s="1"/>
  <c r="D23" i="31"/>
  <c r="D25" i="28"/>
  <c r="I3" i="28" s="1"/>
  <c r="I2" i="28"/>
  <c r="I12" i="28" s="1"/>
  <c r="I2" i="27"/>
  <c r="I12" i="27" s="1"/>
  <c r="I2" i="24"/>
  <c r="I12" i="24" s="1"/>
  <c r="D23" i="24"/>
  <c r="E23" i="24" s="1"/>
  <c r="E25" i="24" s="1"/>
  <c r="I4" i="24" s="1"/>
  <c r="I2" i="22"/>
  <c r="I12" i="22" s="1"/>
  <c r="D23" i="22"/>
  <c r="E23" i="22" s="1"/>
  <c r="I2" i="20"/>
  <c r="I12" i="20" s="1"/>
  <c r="D23" i="20"/>
  <c r="E23" i="20" s="1"/>
  <c r="I2" i="19"/>
  <c r="I12" i="19" s="1"/>
  <c r="D23" i="19"/>
  <c r="E23" i="19" s="1"/>
  <c r="I5" i="19"/>
  <c r="I2" i="18"/>
  <c r="I12" i="18" s="1"/>
  <c r="D23" i="18"/>
  <c r="E23" i="18" s="1"/>
  <c r="I2" i="17"/>
  <c r="I12" i="17" s="1"/>
  <c r="D23" i="17"/>
  <c r="E23" i="17" s="1"/>
  <c r="I2" i="16"/>
  <c r="I12" i="16" s="1"/>
  <c r="D23" i="16"/>
  <c r="E23" i="16" s="1"/>
  <c r="I2" i="15"/>
  <c r="I12" i="15" s="1"/>
  <c r="D23" i="15"/>
  <c r="E23" i="15" s="1"/>
  <c r="I2" i="14"/>
  <c r="I12" i="14" s="1"/>
  <c r="D23" i="14"/>
  <c r="E23" i="14" s="1"/>
  <c r="E25" i="14" s="1"/>
  <c r="I4" i="14" s="1"/>
  <c r="I5" i="14"/>
  <c r="I2" i="13"/>
  <c r="I12" i="13" s="1"/>
  <c r="I5" i="13"/>
  <c r="I2" i="12"/>
  <c r="I12" i="12" s="1"/>
  <c r="D23" i="12"/>
  <c r="E23" i="12" s="1"/>
  <c r="I2" i="11"/>
  <c r="I12" i="11" s="1"/>
  <c r="D23" i="11"/>
  <c r="E23" i="11" s="1"/>
  <c r="I2" i="6"/>
  <c r="I12" i="6" s="1"/>
  <c r="I5" i="6"/>
  <c r="AH7" i="39"/>
  <c r="E25" i="39"/>
  <c r="I4" i="39" s="1"/>
  <c r="D25" i="37"/>
  <c r="I3" i="37" s="1"/>
  <c r="D25" i="29"/>
  <c r="I3" i="29" s="1"/>
  <c r="I2" i="29"/>
  <c r="I12" i="29" s="1"/>
  <c r="I2" i="25"/>
  <c r="I12" i="25" s="1"/>
  <c r="D25" i="25"/>
  <c r="I3" i="25" s="1"/>
  <c r="I2" i="23"/>
  <c r="I12" i="23" s="1"/>
  <c r="D25" i="23"/>
  <c r="I3" i="23" s="1"/>
  <c r="I2" i="21"/>
  <c r="I12" i="21" s="1"/>
  <c r="D25" i="19"/>
  <c r="I3" i="19" s="1"/>
  <c r="D25" i="17"/>
  <c r="I3" i="17" s="1"/>
  <c r="AH9" i="23"/>
  <c r="AH7" i="29"/>
  <c r="AH7" i="36"/>
  <c r="AH7" i="38"/>
  <c r="D25" i="13"/>
  <c r="I3" i="13" s="1"/>
  <c r="D25" i="6"/>
  <c r="I3" i="6" s="1"/>
  <c r="AH7" i="34"/>
  <c r="AH7" i="37"/>
  <c r="X6" i="3"/>
  <c r="C4" i="10"/>
  <c r="C7" i="10"/>
  <c r="X12" i="3"/>
  <c r="C10" i="10"/>
  <c r="X10" i="3"/>
  <c r="C8" i="10"/>
  <c r="X8" i="3"/>
  <c r="C6" i="10"/>
  <c r="X11" i="3"/>
  <c r="C9" i="10"/>
  <c r="X7" i="3"/>
  <c r="C5" i="10"/>
  <c r="X5" i="3"/>
  <c r="C3" i="10"/>
  <c r="AH7" i="33"/>
  <c r="AH7" i="35"/>
  <c r="AH7" i="3"/>
  <c r="AH8" i="3"/>
  <c r="AH8" i="25"/>
  <c r="AH8" i="26"/>
  <c r="AH6" i="3"/>
  <c r="AH5" i="3"/>
  <c r="AH8" i="39"/>
  <c r="AH8" i="36"/>
  <c r="AH8" i="37"/>
  <c r="W13" i="3"/>
  <c r="X13" i="3" s="1"/>
  <c r="AH6" i="32"/>
  <c r="AH9" i="33"/>
  <c r="AH6" i="34"/>
  <c r="AH6" i="39"/>
  <c r="AH9" i="3"/>
  <c r="AH9" i="27"/>
  <c r="I9" i="3"/>
  <c r="I11" i="3"/>
  <c r="I14" i="3" s="1"/>
  <c r="E25" i="3"/>
  <c r="I4" i="3" s="1"/>
  <c r="AC9" i="3"/>
  <c r="AB13" i="3"/>
  <c r="AF13" i="3"/>
  <c r="AG13" i="3"/>
  <c r="X9" i="3"/>
  <c r="AH8" i="30"/>
  <c r="AH8" i="24"/>
  <c r="AH6" i="33"/>
  <c r="AH6" i="35"/>
  <c r="AH8" i="38"/>
  <c r="AH8" i="22"/>
  <c r="AG13" i="39"/>
  <c r="AH6" i="36"/>
  <c r="AH6" i="38"/>
  <c r="AH9" i="39"/>
  <c r="AH6" i="37"/>
  <c r="AH9" i="38"/>
  <c r="AH8" i="35"/>
  <c r="AF13" i="39"/>
  <c r="AH5" i="38"/>
  <c r="I11" i="39"/>
  <c r="AH5" i="39"/>
  <c r="W13" i="39"/>
  <c r="X13" i="39" s="1"/>
  <c r="AH8" i="31"/>
  <c r="AC5" i="39"/>
  <c r="E25" i="38"/>
  <c r="I4" i="38" s="1"/>
  <c r="I9" i="38"/>
  <c r="I11" i="38"/>
  <c r="AA13" i="38"/>
  <c r="AB13" i="38"/>
  <c r="AF13" i="38"/>
  <c r="AG13" i="38"/>
  <c r="W13" i="38"/>
  <c r="X13" i="38" s="1"/>
  <c r="D25" i="38"/>
  <c r="I3" i="38" s="1"/>
  <c r="AG13" i="37"/>
  <c r="W13" i="37"/>
  <c r="X13" i="37" s="1"/>
  <c r="AH9" i="37"/>
  <c r="I9" i="37"/>
  <c r="I11" i="37"/>
  <c r="AH5" i="37"/>
  <c r="AC7" i="37"/>
  <c r="X9" i="37"/>
  <c r="E25" i="37"/>
  <c r="I4" i="37" s="1"/>
  <c r="AA13" i="37"/>
  <c r="AC13" i="37" s="1"/>
  <c r="AF13" i="37"/>
  <c r="AH7" i="15"/>
  <c r="AH7" i="17"/>
  <c r="AH8" i="32"/>
  <c r="AH8" i="34"/>
  <c r="AG13" i="36"/>
  <c r="W13" i="36"/>
  <c r="X13" i="36" s="1"/>
  <c r="AH9" i="36"/>
  <c r="I9" i="36"/>
  <c r="I11" i="36"/>
  <c r="AA13" i="36"/>
  <c r="AC13" i="36" s="1"/>
  <c r="AF13" i="36"/>
  <c r="AF13" i="35"/>
  <c r="X9" i="36"/>
  <c r="AH5" i="35"/>
  <c r="AH9" i="35"/>
  <c r="D25" i="36"/>
  <c r="I3" i="36" s="1"/>
  <c r="AH5" i="36"/>
  <c r="AC7" i="36"/>
  <c r="AG13" i="34"/>
  <c r="E25" i="36"/>
  <c r="I4" i="36" s="1"/>
  <c r="I5" i="35"/>
  <c r="I11" i="35"/>
  <c r="W13" i="35"/>
  <c r="X13" i="35" s="1"/>
  <c r="AG13" i="35"/>
  <c r="AA13" i="35"/>
  <c r="AC13" i="35" s="1"/>
  <c r="AH7" i="21"/>
  <c r="AH7" i="23"/>
  <c r="AH8" i="33"/>
  <c r="AH9" i="34"/>
  <c r="I9" i="34"/>
  <c r="I11" i="34"/>
  <c r="D25" i="34"/>
  <c r="I3" i="34" s="1"/>
  <c r="AH5" i="34"/>
  <c r="W13" i="34"/>
  <c r="X13" i="34" s="1"/>
  <c r="AA13" i="34"/>
  <c r="AC13" i="34" s="1"/>
  <c r="AF13" i="34"/>
  <c r="AF13" i="33"/>
  <c r="AG13" i="33"/>
  <c r="W13" i="33"/>
  <c r="X13" i="33" s="1"/>
  <c r="AH6" i="27"/>
  <c r="AH9" i="32"/>
  <c r="AC7" i="34"/>
  <c r="AG13" i="32"/>
  <c r="E25" i="34"/>
  <c r="I4" i="34" s="1"/>
  <c r="I9" i="33"/>
  <c r="I11" i="33"/>
  <c r="AH5" i="33"/>
  <c r="AC7" i="33"/>
  <c r="X9" i="33"/>
  <c r="E25" i="33"/>
  <c r="I4" i="33" s="1"/>
  <c r="AA13" i="33"/>
  <c r="AC13" i="33" s="1"/>
  <c r="AF13" i="31"/>
  <c r="AF13" i="32"/>
  <c r="W13" i="32"/>
  <c r="X13" i="32" s="1"/>
  <c r="I9" i="32"/>
  <c r="I11" i="32"/>
  <c r="AH7" i="32"/>
  <c r="AA13" i="32"/>
  <c r="AC13" i="32" s="1"/>
  <c r="AH5" i="32"/>
  <c r="AC7" i="32"/>
  <c r="AG13" i="31"/>
  <c r="AG13" i="30"/>
  <c r="AH6" i="31"/>
  <c r="AH9" i="31"/>
  <c r="X9" i="32"/>
  <c r="I11" i="31"/>
  <c r="I12" i="31"/>
  <c r="AH5" i="31"/>
  <c r="AH7" i="31"/>
  <c r="AA13" i="31"/>
  <c r="AC13" i="31" s="1"/>
  <c r="AF13" i="30"/>
  <c r="AF13" i="28"/>
  <c r="W13" i="31"/>
  <c r="X13" i="31" s="1"/>
  <c r="AH8" i="28"/>
  <c r="W13" i="30"/>
  <c r="X13" i="30" s="1"/>
  <c r="AH9" i="26"/>
  <c r="AH6" i="30"/>
  <c r="AH9" i="30"/>
  <c r="I9" i="30"/>
  <c r="I11" i="30"/>
  <c r="I14" i="30" s="1"/>
  <c r="AH5" i="30"/>
  <c r="X9" i="30"/>
  <c r="E25" i="30"/>
  <c r="I4" i="30" s="1"/>
  <c r="AH7" i="30"/>
  <c r="AA13" i="30"/>
  <c r="AB13" i="30"/>
  <c r="AH5" i="29"/>
  <c r="AH8" i="27"/>
  <c r="AH8" i="29"/>
  <c r="AH6" i="28"/>
  <c r="AH9" i="29"/>
  <c r="AH6" i="29"/>
  <c r="I9" i="29"/>
  <c r="I11" i="29"/>
  <c r="AF13" i="29"/>
  <c r="AG13" i="29"/>
  <c r="W13" i="29"/>
  <c r="X13" i="29" s="1"/>
  <c r="AB13" i="29"/>
  <c r="AH8" i="21"/>
  <c r="AH8" i="23"/>
  <c r="AA13" i="29"/>
  <c r="AG13" i="28"/>
  <c r="W13" i="28"/>
  <c r="X13" i="28" s="1"/>
  <c r="AH9" i="28"/>
  <c r="I9" i="28"/>
  <c r="I11" i="28"/>
  <c r="AH6" i="26"/>
  <c r="AH5" i="28"/>
  <c r="AC7" i="28"/>
  <c r="X9" i="28"/>
  <c r="E25" i="28"/>
  <c r="I4" i="28" s="1"/>
  <c r="AH7" i="28"/>
  <c r="AA13" i="28"/>
  <c r="AC13" i="28" s="1"/>
  <c r="AF13" i="27"/>
  <c r="AH5" i="27"/>
  <c r="W13" i="27"/>
  <c r="X13" i="27" s="1"/>
  <c r="I9" i="27"/>
  <c r="I11" i="27"/>
  <c r="X9" i="27"/>
  <c r="AC9" i="27"/>
  <c r="AB13" i="27"/>
  <c r="AC13" i="27" s="1"/>
  <c r="AF13" i="26"/>
  <c r="W13" i="26"/>
  <c r="X13" i="26" s="1"/>
  <c r="D25" i="27"/>
  <c r="I3" i="27" s="1"/>
  <c r="AG13" i="27"/>
  <c r="AG13" i="26"/>
  <c r="AH6" i="24"/>
  <c r="AH7" i="27"/>
  <c r="E25" i="27"/>
  <c r="I4" i="27" s="1"/>
  <c r="I9" i="26"/>
  <c r="I11" i="26"/>
  <c r="I14" i="26" s="1"/>
  <c r="AH5" i="26"/>
  <c r="AC7" i="26"/>
  <c r="X9" i="26"/>
  <c r="E25" i="26"/>
  <c r="I4" i="26" s="1"/>
  <c r="AH7" i="26"/>
  <c r="AA13" i="26"/>
  <c r="AC13" i="26" s="1"/>
  <c r="AF13" i="25"/>
  <c r="AH5" i="25"/>
  <c r="W13" i="25"/>
  <c r="X13" i="25" s="1"/>
  <c r="AH6" i="25"/>
  <c r="AH9" i="25"/>
  <c r="I9" i="25"/>
  <c r="I11" i="25"/>
  <c r="X9" i="25"/>
  <c r="AH7" i="25"/>
  <c r="AA13" i="25"/>
  <c r="AF13" i="24"/>
  <c r="AB13" i="25"/>
  <c r="AG13" i="25"/>
  <c r="E25" i="25"/>
  <c r="I4" i="25" s="1"/>
  <c r="AH5" i="24"/>
  <c r="AH6" i="23"/>
  <c r="AH9" i="24"/>
  <c r="I9" i="24"/>
  <c r="I11" i="24"/>
  <c r="AC7" i="24"/>
  <c r="W13" i="24"/>
  <c r="X13" i="24" s="1"/>
  <c r="AF13" i="22"/>
  <c r="AH7" i="24"/>
  <c r="AA13" i="24"/>
  <c r="AC13" i="24" s="1"/>
  <c r="AG13" i="24"/>
  <c r="AG13" i="23"/>
  <c r="W13" i="23"/>
  <c r="X13" i="23" s="1"/>
  <c r="I9" i="23"/>
  <c r="I11" i="23"/>
  <c r="AH5" i="23"/>
  <c r="X9" i="23"/>
  <c r="AA13" i="23"/>
  <c r="AB13" i="23"/>
  <c r="AF13" i="23"/>
  <c r="AH6" i="22"/>
  <c r="AH5" i="22"/>
  <c r="AH8" i="20"/>
  <c r="AH6" i="21"/>
  <c r="W13" i="22"/>
  <c r="X13" i="22" s="1"/>
  <c r="AH9" i="22"/>
  <c r="I9" i="22"/>
  <c r="I11" i="22"/>
  <c r="X9" i="22"/>
  <c r="AH7" i="22"/>
  <c r="AA13" i="22"/>
  <c r="AC13" i="22" s="1"/>
  <c r="AG13" i="22"/>
  <c r="AC7" i="22"/>
  <c r="AH5" i="21"/>
  <c r="AH9" i="21"/>
  <c r="E25" i="21"/>
  <c r="I4" i="21" s="1"/>
  <c r="I9" i="21"/>
  <c r="I11" i="21"/>
  <c r="W13" i="21"/>
  <c r="X13" i="21" s="1"/>
  <c r="AF13" i="20"/>
  <c r="AG13" i="21"/>
  <c r="AA13" i="21"/>
  <c r="D25" i="21"/>
  <c r="I3" i="21" s="1"/>
  <c r="AB13" i="21"/>
  <c r="AF13" i="21"/>
  <c r="AH6" i="20"/>
  <c r="AG13" i="20"/>
  <c r="AH8" i="18"/>
  <c r="AH9" i="20"/>
  <c r="I9" i="20"/>
  <c r="I11" i="20"/>
  <c r="AH5" i="20"/>
  <c r="W13" i="20"/>
  <c r="X13" i="20" s="1"/>
  <c r="AH7" i="20"/>
  <c r="AB13" i="20"/>
  <c r="D25" i="20"/>
  <c r="I3" i="20" s="1"/>
  <c r="AH6" i="19"/>
  <c r="AF13" i="16"/>
  <c r="AA13" i="20"/>
  <c r="AC13" i="20" s="1"/>
  <c r="AF13" i="19"/>
  <c r="E25" i="20"/>
  <c r="I4" i="20" s="1"/>
  <c r="AH5" i="19"/>
  <c r="AH8" i="19"/>
  <c r="W13" i="19"/>
  <c r="X13" i="19" s="1"/>
  <c r="AH9" i="19"/>
  <c r="I9" i="19"/>
  <c r="I11" i="19"/>
  <c r="X9" i="19"/>
  <c r="AF13" i="18"/>
  <c r="AG13" i="19"/>
  <c r="AC7" i="19"/>
  <c r="AH7" i="19"/>
  <c r="AA13" i="19"/>
  <c r="AC13" i="19" s="1"/>
  <c r="AH8" i="17"/>
  <c r="AG13" i="18"/>
  <c r="AH6" i="18"/>
  <c r="AH9" i="18"/>
  <c r="I9" i="18"/>
  <c r="I11" i="18"/>
  <c r="AH5" i="18"/>
  <c r="W13" i="18"/>
  <c r="X13" i="18" s="1"/>
  <c r="AB13" i="18"/>
  <c r="AH9" i="17"/>
  <c r="AH7" i="18"/>
  <c r="AA13" i="18"/>
  <c r="AC13" i="18" s="1"/>
  <c r="AG13" i="17"/>
  <c r="AH6" i="17"/>
  <c r="I9" i="17"/>
  <c r="I11" i="17"/>
  <c r="AC13" i="17"/>
  <c r="AH5" i="17"/>
  <c r="AC7" i="17"/>
  <c r="W13" i="17"/>
  <c r="X13" i="17" s="1"/>
  <c r="AC9" i="17"/>
  <c r="AF13" i="17"/>
  <c r="E25" i="17"/>
  <c r="I4" i="17" s="1"/>
  <c r="AH9" i="16"/>
  <c r="AH8" i="16"/>
  <c r="AH8" i="14"/>
  <c r="AH8" i="15"/>
  <c r="AG13" i="16"/>
  <c r="AH6" i="16"/>
  <c r="I9" i="16"/>
  <c r="I11" i="16"/>
  <c r="E25" i="16"/>
  <c r="I4" i="16" s="1"/>
  <c r="W13" i="16"/>
  <c r="X13" i="16" s="1"/>
  <c r="AH7" i="16"/>
  <c r="D25" i="16"/>
  <c r="I3" i="16" s="1"/>
  <c r="AA13" i="16"/>
  <c r="AC13" i="16" s="1"/>
  <c r="AB13" i="16"/>
  <c r="AH6" i="15"/>
  <c r="AH5" i="16"/>
  <c r="AF13" i="14"/>
  <c r="AG13" i="15"/>
  <c r="AH8" i="12"/>
  <c r="AH9" i="15"/>
  <c r="I9" i="15"/>
  <c r="I11" i="15"/>
  <c r="AC13" i="15"/>
  <c r="AH5" i="15"/>
  <c r="W13" i="15"/>
  <c r="X13" i="15" s="1"/>
  <c r="AC9" i="15"/>
  <c r="AF13" i="15"/>
  <c r="AC7" i="15"/>
  <c r="E25" i="15"/>
  <c r="I4" i="15" s="1"/>
  <c r="AH9" i="14"/>
  <c r="AH6" i="14"/>
  <c r="AH5" i="14"/>
  <c r="AH8" i="13"/>
  <c r="W13" i="14"/>
  <c r="X13" i="14" s="1"/>
  <c r="I9" i="14"/>
  <c r="I11" i="14"/>
  <c r="AC13" i="14"/>
  <c r="X9" i="14"/>
  <c r="AH7" i="14"/>
  <c r="AC9" i="14"/>
  <c r="AB13" i="14"/>
  <c r="AG13" i="14"/>
  <c r="AG13" i="13"/>
  <c r="AF13" i="13"/>
  <c r="W13" i="13"/>
  <c r="X13" i="13" s="1"/>
  <c r="AH6" i="13"/>
  <c r="AH9" i="13"/>
  <c r="I9" i="13"/>
  <c r="I11" i="13"/>
  <c r="AH5" i="13"/>
  <c r="AC7" i="13"/>
  <c r="X9" i="13"/>
  <c r="AH7" i="13"/>
  <c r="AA13" i="13"/>
  <c r="AC13" i="13" s="1"/>
  <c r="AH6" i="11"/>
  <c r="AG13" i="12"/>
  <c r="AF13" i="12"/>
  <c r="W13" i="12"/>
  <c r="X13" i="12" s="1"/>
  <c r="AH6" i="12"/>
  <c r="AH9" i="12"/>
  <c r="I9" i="12"/>
  <c r="I11" i="12"/>
  <c r="AH5" i="12"/>
  <c r="AC7" i="12"/>
  <c r="X9" i="12"/>
  <c r="AH7" i="12"/>
  <c r="AA13" i="12"/>
  <c r="AC13" i="12" s="1"/>
  <c r="AH8" i="11"/>
  <c r="AG13" i="11"/>
  <c r="AH8" i="6"/>
  <c r="AF13" i="11"/>
  <c r="W13" i="11"/>
  <c r="X13" i="11" s="1"/>
  <c r="AH9" i="11"/>
  <c r="I9" i="11"/>
  <c r="I11" i="11"/>
  <c r="AH5" i="11"/>
  <c r="AC7" i="11"/>
  <c r="X9" i="11"/>
  <c r="AH7" i="11"/>
  <c r="AA13" i="11"/>
  <c r="AC13" i="11" s="1"/>
  <c r="AH9" i="6"/>
  <c r="AF13" i="6"/>
  <c r="AG13" i="6"/>
  <c r="W13" i="6"/>
  <c r="X13" i="6" s="1"/>
  <c r="AH6" i="6"/>
  <c r="I9" i="6"/>
  <c r="I11" i="6"/>
  <c r="X9" i="6"/>
  <c r="AA13" i="6"/>
  <c r="AB13" i="6"/>
  <c r="AH7" i="6"/>
  <c r="AH5" i="6"/>
  <c r="AC9" i="2"/>
  <c r="AA13" i="2"/>
  <c r="AC6" i="2"/>
  <c r="AC12" i="2"/>
  <c r="AC11" i="2"/>
  <c r="AC7" i="2"/>
  <c r="AC8" i="2"/>
  <c r="AC10" i="2"/>
  <c r="AB13" i="2"/>
  <c r="AH9" i="2"/>
  <c r="AH8" i="2"/>
  <c r="AC5" i="2"/>
  <c r="AH7" i="2"/>
  <c r="AF13" i="2"/>
  <c r="AH6" i="2"/>
  <c r="AG13" i="2"/>
  <c r="AH5" i="2"/>
  <c r="W13" i="2"/>
  <c r="X13" i="2" s="1"/>
  <c r="P22" i="9"/>
  <c r="P28" i="9"/>
  <c r="P34" i="9"/>
  <c r="P19" i="9"/>
  <c r="P20" i="9"/>
  <c r="P9" i="9"/>
  <c r="P10" i="9"/>
  <c r="P11" i="9"/>
  <c r="P13" i="9"/>
  <c r="P14" i="9"/>
  <c r="P15" i="9"/>
  <c r="P16" i="9"/>
  <c r="P17" i="9"/>
  <c r="P29" i="9"/>
  <c r="P30" i="9"/>
  <c r="P31" i="9"/>
  <c r="D11" i="40" l="1"/>
  <c r="P33" i="9"/>
  <c r="P23" i="9"/>
  <c r="P21" i="9"/>
  <c r="P27" i="9"/>
  <c r="P18" i="9"/>
  <c r="P25" i="9"/>
  <c r="P26" i="9"/>
  <c r="P24" i="9"/>
  <c r="P32" i="9"/>
  <c r="P12" i="9"/>
  <c r="P4" i="9"/>
  <c r="D10" i="40"/>
  <c r="D8" i="40"/>
  <c r="D9" i="40"/>
  <c r="D7" i="40"/>
  <c r="D25" i="39"/>
  <c r="I3" i="39" s="1"/>
  <c r="I14" i="39" s="1"/>
  <c r="I12" i="39"/>
  <c r="I12" i="33"/>
  <c r="I14" i="33"/>
  <c r="I14" i="32"/>
  <c r="I5" i="29"/>
  <c r="I5" i="27"/>
  <c r="I5" i="26"/>
  <c r="I5" i="24"/>
  <c r="I5" i="22"/>
  <c r="D25" i="22"/>
  <c r="I3" i="22" s="1"/>
  <c r="D25" i="18"/>
  <c r="I3" i="18" s="1"/>
  <c r="I5" i="17"/>
  <c r="D25" i="15"/>
  <c r="I3" i="15" s="1"/>
  <c r="D25" i="14"/>
  <c r="I3" i="14" s="1"/>
  <c r="D25" i="12"/>
  <c r="I3" i="12" s="1"/>
  <c r="D25" i="11"/>
  <c r="I3" i="11" s="1"/>
  <c r="I14" i="11"/>
  <c r="G11" i="10"/>
  <c r="M11" i="10"/>
  <c r="L11" i="10"/>
  <c r="I3" i="10"/>
  <c r="I11" i="10" s="1"/>
  <c r="AC13" i="3"/>
  <c r="E23" i="35"/>
  <c r="E25" i="35" s="1"/>
  <c r="I4" i="35" s="1"/>
  <c r="D25" i="35"/>
  <c r="I3" i="35" s="1"/>
  <c r="I14" i="35" s="1"/>
  <c r="E23" i="31"/>
  <c r="E25" i="31" s="1"/>
  <c r="I4" i="31" s="1"/>
  <c r="D25" i="31"/>
  <c r="I3" i="31" s="1"/>
  <c r="I14" i="29"/>
  <c r="I14" i="28"/>
  <c r="I5" i="28"/>
  <c r="I14" i="25"/>
  <c r="I14" i="23"/>
  <c r="I14" i="22"/>
  <c r="I5" i="20"/>
  <c r="I14" i="19"/>
  <c r="I14" i="18"/>
  <c r="I5" i="18"/>
  <c r="I14" i="17"/>
  <c r="I5" i="16"/>
  <c r="I14" i="15"/>
  <c r="I5" i="15"/>
  <c r="I14" i="13"/>
  <c r="I14" i="12"/>
  <c r="I5" i="12"/>
  <c r="I5" i="11"/>
  <c r="I14" i="6"/>
  <c r="I14" i="37"/>
  <c r="I14" i="34"/>
  <c r="I5" i="25"/>
  <c r="D25" i="24"/>
  <c r="I3" i="24" s="1"/>
  <c r="I14" i="24" s="1"/>
  <c r="I5" i="23"/>
  <c r="I5" i="21"/>
  <c r="C11" i="10"/>
  <c r="AH13" i="3"/>
  <c r="AH13" i="39"/>
  <c r="AH13" i="37"/>
  <c r="AH13" i="38"/>
  <c r="AC13" i="38"/>
  <c r="I14" i="38"/>
  <c r="AH13" i="34"/>
  <c r="AH13" i="35"/>
  <c r="AH13" i="36"/>
  <c r="I14" i="36"/>
  <c r="AH13" i="33"/>
  <c r="AH13" i="29"/>
  <c r="AH13" i="32"/>
  <c r="E25" i="32"/>
  <c r="I4" i="32" s="1"/>
  <c r="AH13" i="31"/>
  <c r="I14" i="31"/>
  <c r="AH13" i="27"/>
  <c r="AH13" i="30"/>
  <c r="AC13" i="30"/>
  <c r="AC13" i="29"/>
  <c r="E25" i="29"/>
  <c r="I4" i="29" s="1"/>
  <c r="AH13" i="28"/>
  <c r="AH13" i="25"/>
  <c r="I14" i="27"/>
  <c r="AH13" i="23"/>
  <c r="AH13" i="26"/>
  <c r="AC13" i="25"/>
  <c r="AH13" i="24"/>
  <c r="AC13" i="23"/>
  <c r="E25" i="23"/>
  <c r="I4" i="23" s="1"/>
  <c r="AH13" i="22"/>
  <c r="E25" i="22"/>
  <c r="I4" i="22" s="1"/>
  <c r="AH13" i="21"/>
  <c r="AC13" i="21"/>
  <c r="I14" i="21"/>
  <c r="AH13" i="20"/>
  <c r="I14" i="20"/>
  <c r="AH13" i="19"/>
  <c r="E25" i="19"/>
  <c r="I4" i="19" s="1"/>
  <c r="E25" i="18"/>
  <c r="I4" i="18" s="1"/>
  <c r="AH13" i="18"/>
  <c r="AH13" i="17"/>
  <c r="AH13" i="16"/>
  <c r="I14" i="16"/>
  <c r="AH13" i="15"/>
  <c r="AH13" i="14"/>
  <c r="I14" i="14"/>
  <c r="E25" i="13"/>
  <c r="I4" i="13" s="1"/>
  <c r="AH13" i="13"/>
  <c r="E25" i="12"/>
  <c r="I4" i="12" s="1"/>
  <c r="AH13" i="12"/>
  <c r="E25" i="11"/>
  <c r="I4" i="11" s="1"/>
  <c r="AH13" i="11"/>
  <c r="AH13" i="6"/>
  <c r="E25" i="6"/>
  <c r="I4" i="6" s="1"/>
  <c r="AC13" i="6"/>
  <c r="AC13" i="2"/>
  <c r="AH13" i="2"/>
  <c r="P8" i="9"/>
  <c r="N35" i="9"/>
  <c r="P5" i="9"/>
  <c r="P6" i="9"/>
  <c r="P7" i="9"/>
  <c r="O35" i="9"/>
  <c r="P35" i="9" l="1"/>
  <c r="N25" i="2"/>
  <c r="I13" i="2" s="1"/>
  <c r="H13" i="40" s="1"/>
  <c r="L14" i="2"/>
  <c r="R4" i="9" s="1"/>
  <c r="K14" i="2"/>
  <c r="Q4" i="9" s="1"/>
  <c r="D19" i="2"/>
  <c r="E19" i="2" s="1"/>
  <c r="D20" i="2"/>
  <c r="E20" i="2" s="1"/>
  <c r="D21" i="2"/>
  <c r="E21" i="2" s="1"/>
  <c r="D22" i="2"/>
  <c r="E22" i="2" s="1"/>
  <c r="D24" i="2"/>
  <c r="E24" i="2" s="1"/>
  <c r="D13" i="2"/>
  <c r="D8" i="2"/>
  <c r="E8" i="2" s="1"/>
  <c r="D22" i="10" s="1"/>
  <c r="D11" i="2"/>
  <c r="E11" i="2" s="1"/>
  <c r="D25" i="10" s="1"/>
  <c r="D10" i="2"/>
  <c r="E10" i="2" s="1"/>
  <c r="D24" i="10" s="1"/>
  <c r="D9" i="2"/>
  <c r="E9" i="2" s="1"/>
  <c r="D23" i="10" s="1"/>
  <c r="D7" i="2"/>
  <c r="E7" i="2" s="1"/>
  <c r="D21" i="10" s="1"/>
  <c r="D5" i="2"/>
  <c r="E5" i="2" s="1"/>
  <c r="D19" i="10" s="1"/>
  <c r="D6" i="2"/>
  <c r="E6" i="2" s="1"/>
  <c r="D20" i="10" s="1"/>
  <c r="D3" i="2"/>
  <c r="E3" i="2" s="1"/>
  <c r="D17" i="10" s="1"/>
  <c r="D4" i="2"/>
  <c r="E4" i="2" s="1"/>
  <c r="D18" i="10" s="1"/>
  <c r="D2" i="2"/>
  <c r="E2" i="2" s="1"/>
  <c r="D16" i="10" s="1"/>
  <c r="C25" i="2"/>
  <c r="D23" i="2" s="1"/>
  <c r="E23" i="2" s="1"/>
  <c r="D37" i="10" s="1"/>
  <c r="B25" i="2"/>
  <c r="I1" i="2" s="1"/>
  <c r="H4" i="40" s="1"/>
  <c r="D18" i="2"/>
  <c r="E18" i="2" s="1"/>
  <c r="D17" i="2"/>
  <c r="E17" i="2" s="1"/>
  <c r="D16" i="2"/>
  <c r="E16" i="2" s="1"/>
  <c r="D15" i="2"/>
  <c r="E15" i="2" s="1"/>
  <c r="D14" i="2"/>
  <c r="E14" i="2" s="1"/>
  <c r="D26" i="10"/>
  <c r="D6" i="40" s="1"/>
  <c r="D4" i="40" l="1"/>
  <c r="D5" i="40"/>
  <c r="I7" i="2"/>
  <c r="I8" i="2"/>
  <c r="H8" i="40" s="1"/>
  <c r="I2" i="2"/>
  <c r="H5" i="40" s="1"/>
  <c r="D25" i="2"/>
  <c r="I3" i="2" s="1"/>
  <c r="H12" i="40" s="1"/>
  <c r="H11" i="40" l="1"/>
  <c r="I11" i="2"/>
  <c r="H7" i="40"/>
  <c r="H10" i="40" s="1"/>
  <c r="D20" i="40"/>
  <c r="I12" i="2"/>
  <c r="I9" i="2"/>
  <c r="H9" i="40" s="1"/>
  <c r="I5" i="2"/>
  <c r="H6" i="40" s="1"/>
  <c r="E25" i="2"/>
  <c r="I4" i="2" s="1"/>
  <c r="I14" i="2" l="1"/>
</calcChain>
</file>

<file path=xl/sharedStrings.xml><?xml version="1.0" encoding="utf-8"?>
<sst xmlns="http://schemas.openxmlformats.org/spreadsheetml/2006/main" count="2659" uniqueCount="82">
  <si>
    <t>MAKSİ PAYFİX</t>
  </si>
  <si>
    <t>MAKSİ PAPARA</t>
  </si>
  <si>
    <t>MAKSİ HAVALE</t>
  </si>
  <si>
    <t>MAKSİ KRİPTO</t>
  </si>
  <si>
    <t>MAKSİ PEP</t>
  </si>
  <si>
    <t>MAKSİ KREDİ KARTI</t>
  </si>
  <si>
    <t>FTN</t>
  </si>
  <si>
    <t>PLUS HAVALE</t>
  </si>
  <si>
    <t>PLUS PAPARA</t>
  </si>
  <si>
    <t>YATIRIM</t>
  </si>
  <si>
    <t>ÇEKİM</t>
  </si>
  <si>
    <t>KOMİSYON</t>
  </si>
  <si>
    <t>KALAN TUTAR</t>
  </si>
  <si>
    <t>EKLENEN KREDİ TOPLAMI</t>
  </si>
  <si>
    <t>NAKİT GİRİŞ TOPLAMI</t>
  </si>
  <si>
    <t>TOPLAM</t>
  </si>
  <si>
    <t>MAKSİ OZANPAY</t>
  </si>
  <si>
    <t>KREDİLER</t>
  </si>
  <si>
    <t>MAKSİ PAYBOL&amp;POPYPARA</t>
  </si>
  <si>
    <t>ÖDENEN KREDİ TOPLAMI</t>
  </si>
  <si>
    <t>TOPLAM KAR/ZARAR</t>
  </si>
  <si>
    <t>SİTE ÜYELERİ YATIRIM</t>
  </si>
  <si>
    <t>SİTE ÜYELERİ ÇEKİM</t>
  </si>
  <si>
    <t>TOPLAM SİTE YATIRIM</t>
  </si>
  <si>
    <t>TOPLAM SİTE ÇEKİM</t>
  </si>
  <si>
    <t>EKLENEN</t>
  </si>
  <si>
    <t>ÖDENEN</t>
  </si>
  <si>
    <t>ÜYE İSMİ</t>
  </si>
  <si>
    <t>OKİCEY</t>
  </si>
  <si>
    <t>BAKİYE</t>
  </si>
  <si>
    <t>HANGİ KASA</t>
  </si>
  <si>
    <t>YAPILAN ÖDEMELER</t>
  </si>
  <si>
    <t>ÖDEME YERİ</t>
  </si>
  <si>
    <t>TUTAR</t>
  </si>
  <si>
    <t>MARDİNLİ47</t>
  </si>
  <si>
    <t>KEMALGEZER</t>
  </si>
  <si>
    <t>KASALAR</t>
  </si>
  <si>
    <t>KREDİCİLER</t>
  </si>
  <si>
    <t>KASALAR ARASI TRANSFER</t>
  </si>
  <si>
    <t>GİREN</t>
  </si>
  <si>
    <t>ÇIKAN</t>
  </si>
  <si>
    <t>KASA</t>
  </si>
  <si>
    <t>KREDİLER FARK</t>
  </si>
  <si>
    <t>ÜYELER YATIRIM-ÇEKİM FARKI</t>
  </si>
  <si>
    <t>TOPLAM ÖDENEN KOMİSYON</t>
  </si>
  <si>
    <t xml:space="preserve">SİTE ÜYELERİ  GÜNLÜK KALAN </t>
  </si>
  <si>
    <t>EKİM</t>
  </si>
  <si>
    <t>GÜNLÜK RAPOR</t>
  </si>
  <si>
    <t>FARK</t>
  </si>
  <si>
    <t>SAPMA</t>
  </si>
  <si>
    <t>MAKSİ KASA</t>
  </si>
  <si>
    <t>PLUS KASA</t>
  </si>
  <si>
    <t>FTN KASA</t>
  </si>
  <si>
    <t>TONY KASA</t>
  </si>
  <si>
    <t>TS KASA</t>
  </si>
  <si>
    <t>KARTAL KASA</t>
  </si>
  <si>
    <t>ALEX KASA</t>
  </si>
  <si>
    <t>KORAY KASA</t>
  </si>
  <si>
    <t>KREDİLER KASASI</t>
  </si>
  <si>
    <t>ÖDEMELER KASASI</t>
  </si>
  <si>
    <t>KASALAR ARASI TRANSFER KASASI</t>
  </si>
  <si>
    <t>KALAN</t>
  </si>
  <si>
    <t xml:space="preserve">ÇIKAN </t>
  </si>
  <si>
    <t xml:space="preserve">GİREN </t>
  </si>
  <si>
    <t>MUTOK35</t>
  </si>
  <si>
    <t>DEVİR</t>
  </si>
  <si>
    <t>FİNANS KASALAR</t>
  </si>
  <si>
    <t>TOPLAM KASA</t>
  </si>
  <si>
    <t>SİTE ÜYELERİ YATIRIM-ÇEKİM FARKI</t>
  </si>
  <si>
    <t>EKLENEN KREDİLER TOPLAMI</t>
  </si>
  <si>
    <t>ÖDENEN KREDİLER TOPLAMI</t>
  </si>
  <si>
    <t>KREDİLER EKLENEN-ÖDENEN FARKI</t>
  </si>
  <si>
    <t>TOPLAM SİTE ÇEKİMİ</t>
  </si>
  <si>
    <t>ÖDENEN KOMİSYONLAR TOPLAMI</t>
  </si>
  <si>
    <t>GİDERLER TOPLAMI</t>
  </si>
  <si>
    <t>AYLIK KAR/ZARAR DURUMU</t>
  </si>
  <si>
    <t>ANLIK BİLANÇO TAKİBİ</t>
  </si>
  <si>
    <t>BORÇ</t>
  </si>
  <si>
    <t>ALACAK</t>
  </si>
  <si>
    <r>
      <rPr>
        <b/>
        <sz val="13"/>
        <color rgb="FFFF0000"/>
        <rFont val="Calibri"/>
        <family val="2"/>
        <charset val="162"/>
        <scheme val="minor"/>
      </rPr>
      <t>23.307</t>
    </r>
    <r>
      <rPr>
        <b/>
        <sz val="13"/>
        <color theme="1"/>
        <rFont val="Calibri"/>
        <family val="2"/>
        <charset val="162"/>
        <scheme val="minor"/>
      </rPr>
      <t xml:space="preserve"> Dolar + </t>
    </r>
    <r>
      <rPr>
        <b/>
        <sz val="13"/>
        <color rgb="FFFF0000"/>
        <rFont val="Calibri"/>
        <family val="2"/>
        <charset val="162"/>
        <scheme val="minor"/>
      </rPr>
      <t>1.100</t>
    </r>
    <r>
      <rPr>
        <b/>
        <sz val="13"/>
        <color theme="1"/>
        <rFont val="Calibri"/>
        <family val="2"/>
        <charset val="162"/>
        <scheme val="minor"/>
      </rPr>
      <t xml:space="preserve"> Euro</t>
    </r>
  </si>
  <si>
    <r>
      <rPr>
        <b/>
        <sz val="13"/>
        <color rgb="FFFF0000"/>
        <rFont val="Calibri"/>
        <family val="2"/>
        <charset val="162"/>
        <scheme val="minor"/>
      </rPr>
      <t>5.000</t>
    </r>
    <r>
      <rPr>
        <b/>
        <sz val="13"/>
        <color theme="1"/>
        <rFont val="Calibri"/>
        <family val="2"/>
        <charset val="162"/>
        <scheme val="minor"/>
      </rPr>
      <t xml:space="preserve"> Dolar + </t>
    </r>
    <r>
      <rPr>
        <b/>
        <sz val="13"/>
        <color rgb="FFFF0000"/>
        <rFont val="Calibri"/>
        <family val="2"/>
        <charset val="162"/>
        <scheme val="minor"/>
      </rPr>
      <t>3.150</t>
    </r>
    <r>
      <rPr>
        <b/>
        <sz val="13"/>
        <color theme="1"/>
        <rFont val="Calibri"/>
        <family val="2"/>
        <charset val="162"/>
        <scheme val="minor"/>
      </rPr>
      <t xml:space="preserve"> Euro</t>
    </r>
  </si>
  <si>
    <t>KASA BAKİYELERİ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</si>
</sst>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₺&quot;#,##0;[Red]\-&quot;₺&quot;#,##0"/>
    <numFmt numFmtId="8" formatCode="&quot;₺&quot;#,##0.00;[Red]\-&quot;₺&quot;#,##0.00"/>
    <numFmt numFmtId="164" formatCode="&quot;₺&quot;#,##0.0"/>
    <numFmt numFmtId="165" formatCode="&quot;₺&quot;#,##0.00"/>
    <numFmt numFmtId="166" formatCode="&quot;₺&quot;#,##0"/>
    <numFmt numFmtId="167" formatCode="d/mm/yy"/>
  </numFmts>
  <fonts count="17" x14ac:knownFonts="1">
    <font>
      <sz val="11"/>
      <color theme="1"/>
      <name val="Calibri"/>
      <family val="2"/>
      <charset val="162"/>
      <scheme val="minor"/>
    </font>
    <font>
      <b/>
      <sz val="13"/>
      <color theme="0"/>
      <name val="Arial Narrow"/>
      <family val="2"/>
      <charset val="162"/>
    </font>
    <font>
      <sz val="11"/>
      <color theme="1"/>
      <name val="Arial Narrow"/>
      <family val="2"/>
      <charset val="162"/>
    </font>
    <font>
      <b/>
      <sz val="13"/>
      <color theme="1"/>
      <name val="Arial Narrow"/>
      <family val="2"/>
      <charset val="162"/>
    </font>
    <font>
      <sz val="13"/>
      <color theme="1"/>
      <name val="Arial Narrow"/>
      <family val="2"/>
      <charset val="162"/>
    </font>
    <font>
      <b/>
      <sz val="13"/>
      <name val="Arial Narrow"/>
      <family val="2"/>
      <charset val="162"/>
    </font>
    <font>
      <b/>
      <sz val="16"/>
      <name val="Arial Narrow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2"/>
      <name val="Arial Narrow"/>
      <family val="2"/>
      <charset val="162"/>
    </font>
    <font>
      <b/>
      <sz val="11"/>
      <color theme="1"/>
      <name val="Arial Narrow"/>
      <family val="2"/>
      <charset val="162"/>
    </font>
    <font>
      <b/>
      <sz val="13"/>
      <color rgb="FFFF0000"/>
      <name val="Calibri"/>
      <family val="2"/>
      <charset val="162"/>
      <scheme val="minor"/>
    </font>
    <font>
      <sz val="13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b/>
      <sz val="17"/>
      <color theme="1"/>
      <name val="Calibri"/>
      <family val="2"/>
      <charset val="162"/>
      <scheme val="minor"/>
    </font>
    <font>
      <b/>
      <sz val="15"/>
      <color rgb="FFFF0000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4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2" borderId="3" xfId="0" applyFont="1" applyFill="1" applyBorder="1"/>
    <xf numFmtId="0" fontId="3" fillId="2" borderId="7" xfId="0" applyFont="1" applyFill="1" applyBorder="1"/>
    <xf numFmtId="0" fontId="3" fillId="2" borderId="11" xfId="0" applyFont="1" applyFill="1" applyBorder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2" borderId="27" xfId="0" applyFont="1" applyFill="1" applyBorder="1"/>
    <xf numFmtId="0" fontId="4" fillId="2" borderId="16" xfId="0" applyFont="1" applyFill="1" applyBorder="1"/>
    <xf numFmtId="0" fontId="4" fillId="2" borderId="28" xfId="0" applyFont="1" applyFill="1" applyBorder="1"/>
    <xf numFmtId="0" fontId="4" fillId="2" borderId="11" xfId="0" applyFont="1" applyFill="1" applyBorder="1"/>
    <xf numFmtId="0" fontId="0" fillId="0" borderId="0" xfId="0" applyAlignment="1">
      <alignment horizontal="center"/>
    </xf>
    <xf numFmtId="166" fontId="3" fillId="2" borderId="0" xfId="0" applyNumberFormat="1" applyFont="1" applyFill="1" applyAlignment="1">
      <alignment horizontal="center"/>
    </xf>
    <xf numFmtId="0" fontId="3" fillId="4" borderId="5" xfId="0" applyFont="1" applyFill="1" applyBorder="1" applyAlignment="1">
      <alignment horizontal="left"/>
    </xf>
    <xf numFmtId="0" fontId="3" fillId="4" borderId="22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3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5" fillId="7" borderId="6" xfId="0" applyFont="1" applyFill="1" applyBorder="1"/>
    <xf numFmtId="0" fontId="5" fillId="7" borderId="10" xfId="0" applyFont="1" applyFill="1" applyBorder="1"/>
    <xf numFmtId="0" fontId="5" fillId="7" borderId="19" xfId="0" applyFont="1" applyFill="1" applyBorder="1"/>
    <xf numFmtId="0" fontId="5" fillId="7" borderId="17" xfId="0" applyFont="1" applyFill="1" applyBorder="1"/>
    <xf numFmtId="0" fontId="5" fillId="7" borderId="1" xfId="0" applyFont="1" applyFill="1" applyBorder="1"/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66" fontId="5" fillId="4" borderId="13" xfId="0" applyNumberFormat="1" applyFont="1" applyFill="1" applyBorder="1" applyAlignment="1">
      <alignment horizontal="center"/>
    </xf>
    <xf numFmtId="166" fontId="5" fillId="4" borderId="32" xfId="0" applyNumberFormat="1" applyFont="1" applyFill="1" applyBorder="1" applyAlignment="1">
      <alignment horizontal="center"/>
    </xf>
    <xf numFmtId="166" fontId="5" fillId="4" borderId="15" xfId="0" applyNumberFormat="1" applyFont="1" applyFill="1" applyBorder="1" applyAlignment="1">
      <alignment horizontal="center"/>
    </xf>
    <xf numFmtId="166" fontId="5" fillId="4" borderId="10" xfId="0" applyNumberFormat="1" applyFont="1" applyFill="1" applyBorder="1" applyAlignment="1">
      <alignment horizontal="center"/>
    </xf>
    <xf numFmtId="166" fontId="5" fillId="4" borderId="29" xfId="0" applyNumberFormat="1" applyFont="1" applyFill="1" applyBorder="1" applyAlignment="1">
      <alignment horizontal="center"/>
    </xf>
    <xf numFmtId="166" fontId="5" fillId="4" borderId="19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166" fontId="5" fillId="8" borderId="6" xfId="0" applyNumberFormat="1" applyFont="1" applyFill="1" applyBorder="1" applyAlignment="1">
      <alignment horizontal="center"/>
    </xf>
    <xf numFmtId="166" fontId="5" fillId="8" borderId="10" xfId="0" applyNumberFormat="1" applyFont="1" applyFill="1" applyBorder="1" applyAlignment="1">
      <alignment horizontal="center"/>
    </xf>
    <xf numFmtId="166" fontId="5" fillId="8" borderId="19" xfId="0" applyNumberFormat="1" applyFont="1" applyFill="1" applyBorder="1" applyAlignment="1">
      <alignment horizontal="center"/>
    </xf>
    <xf numFmtId="166" fontId="5" fillId="8" borderId="2" xfId="0" applyNumberFormat="1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2" xfId="0" applyFont="1" applyFill="1" applyBorder="1"/>
    <xf numFmtId="14" fontId="5" fillId="0" borderId="2" xfId="0" applyNumberFormat="1" applyFont="1" applyBorder="1" applyAlignment="1">
      <alignment horizontal="center"/>
    </xf>
    <xf numFmtId="165" fontId="5" fillId="7" borderId="7" xfId="0" applyNumberFormat="1" applyFont="1" applyFill="1" applyBorder="1" applyAlignment="1">
      <alignment horizontal="center"/>
    </xf>
    <xf numFmtId="165" fontId="5" fillId="7" borderId="6" xfId="0" applyNumberFormat="1" applyFont="1" applyFill="1" applyBorder="1" applyAlignment="1">
      <alignment horizontal="center"/>
    </xf>
    <xf numFmtId="164" fontId="5" fillId="7" borderId="7" xfId="0" applyNumberFormat="1" applyFont="1" applyFill="1" applyBorder="1" applyAlignment="1">
      <alignment horizontal="center"/>
    </xf>
    <xf numFmtId="165" fontId="5" fillId="7" borderId="11" xfId="0" applyNumberFormat="1" applyFont="1" applyFill="1" applyBorder="1" applyAlignment="1">
      <alignment horizontal="center"/>
    </xf>
    <xf numFmtId="165" fontId="5" fillId="7" borderId="10" xfId="0" applyNumberFormat="1" applyFont="1" applyFill="1" applyBorder="1" applyAlignment="1">
      <alignment horizontal="center"/>
    </xf>
    <xf numFmtId="164" fontId="5" fillId="7" borderId="11" xfId="0" applyNumberFormat="1" applyFont="1" applyFill="1" applyBorder="1" applyAlignment="1">
      <alignment horizontal="center"/>
    </xf>
    <xf numFmtId="165" fontId="5" fillId="7" borderId="18" xfId="0" applyNumberFormat="1" applyFont="1" applyFill="1" applyBorder="1" applyAlignment="1">
      <alignment horizontal="center"/>
    </xf>
    <xf numFmtId="165" fontId="5" fillId="7" borderId="19" xfId="0" applyNumberFormat="1" applyFont="1" applyFill="1" applyBorder="1" applyAlignment="1">
      <alignment horizontal="center"/>
    </xf>
    <xf numFmtId="165" fontId="5" fillId="7" borderId="17" xfId="0" applyNumberFormat="1" applyFont="1" applyFill="1" applyBorder="1" applyAlignment="1">
      <alignment horizontal="center"/>
    </xf>
    <xf numFmtId="165" fontId="5" fillId="7" borderId="2" xfId="0" applyNumberFormat="1" applyFont="1" applyFill="1" applyBorder="1" applyAlignment="1">
      <alignment horizontal="center"/>
    </xf>
    <xf numFmtId="164" fontId="5" fillId="7" borderId="2" xfId="0" applyNumberFormat="1" applyFont="1" applyFill="1" applyBorder="1" applyAlignment="1">
      <alignment horizontal="center"/>
    </xf>
    <xf numFmtId="6" fontId="5" fillId="4" borderId="32" xfId="0" applyNumberFormat="1" applyFont="1" applyFill="1" applyBorder="1" applyAlignment="1">
      <alignment horizontal="center"/>
    </xf>
    <xf numFmtId="8" fontId="3" fillId="9" borderId="6" xfId="0" applyNumberFormat="1" applyFont="1" applyFill="1" applyBorder="1" applyAlignment="1">
      <alignment horizontal="center"/>
    </xf>
    <xf numFmtId="8" fontId="5" fillId="9" borderId="10" xfId="0" applyNumberFormat="1" applyFont="1" applyFill="1" applyBorder="1" applyAlignment="1">
      <alignment horizontal="center"/>
    </xf>
    <xf numFmtId="8" fontId="5" fillId="3" borderId="17" xfId="0" applyNumberFormat="1" applyFont="1" applyFill="1" applyBorder="1" applyAlignment="1">
      <alignment horizontal="center"/>
    </xf>
    <xf numFmtId="8" fontId="3" fillId="4" borderId="6" xfId="0" applyNumberFormat="1" applyFont="1" applyFill="1" applyBorder="1" applyAlignment="1">
      <alignment horizontal="center"/>
    </xf>
    <xf numFmtId="8" fontId="3" fillId="4" borderId="17" xfId="0" applyNumberFormat="1" applyFont="1" applyFill="1" applyBorder="1" applyAlignment="1">
      <alignment horizontal="center"/>
    </xf>
    <xf numFmtId="8" fontId="3" fillId="2" borderId="38" xfId="0" applyNumberFormat="1" applyFont="1" applyFill="1" applyBorder="1" applyAlignment="1">
      <alignment horizontal="center"/>
    </xf>
    <xf numFmtId="8" fontId="5" fillId="4" borderId="10" xfId="0" applyNumberFormat="1" applyFont="1" applyFill="1" applyBorder="1" applyAlignment="1">
      <alignment horizontal="center"/>
    </xf>
    <xf numFmtId="8" fontId="5" fillId="6" borderId="6" xfId="0" applyNumberFormat="1" applyFont="1" applyFill="1" applyBorder="1" applyAlignment="1">
      <alignment horizontal="center"/>
    </xf>
    <xf numFmtId="8" fontId="5" fillId="6" borderId="17" xfId="0" applyNumberFormat="1" applyFont="1" applyFill="1" applyBorder="1" applyAlignment="1">
      <alignment horizontal="center"/>
    </xf>
    <xf numFmtId="8" fontId="5" fillId="3" borderId="2" xfId="0" applyNumberFormat="1" applyFont="1" applyFill="1" applyBorder="1" applyAlignment="1">
      <alignment horizontal="center"/>
    </xf>
    <xf numFmtId="8" fontId="5" fillId="7" borderId="6" xfId="0" applyNumberFormat="1" applyFont="1" applyFill="1" applyBorder="1" applyAlignment="1">
      <alignment horizontal="center"/>
    </xf>
    <xf numFmtId="8" fontId="5" fillId="7" borderId="10" xfId="0" applyNumberFormat="1" applyFont="1" applyFill="1" applyBorder="1" applyAlignment="1">
      <alignment horizontal="center"/>
    </xf>
    <xf numFmtId="8" fontId="5" fillId="7" borderId="4" xfId="0" applyNumberFormat="1" applyFont="1" applyFill="1" applyBorder="1" applyAlignment="1">
      <alignment horizontal="center"/>
    </xf>
    <xf numFmtId="167" fontId="0" fillId="0" borderId="0" xfId="0" applyNumberFormat="1"/>
    <xf numFmtId="167" fontId="7" fillId="0" borderId="2" xfId="0" applyNumberFormat="1" applyFont="1" applyBorder="1"/>
    <xf numFmtId="166" fontId="7" fillId="0" borderId="3" xfId="0" applyNumberFormat="1" applyFont="1" applyBorder="1"/>
    <xf numFmtId="166" fontId="7" fillId="0" borderId="2" xfId="0" applyNumberFormat="1" applyFont="1" applyBorder="1"/>
    <xf numFmtId="6" fontId="7" fillId="0" borderId="2" xfId="0" applyNumberFormat="1" applyFont="1" applyBorder="1"/>
    <xf numFmtId="166" fontId="7" fillId="11" borderId="3" xfId="0" applyNumberFormat="1" applyFont="1" applyFill="1" applyBorder="1"/>
    <xf numFmtId="166" fontId="7" fillId="11" borderId="2" xfId="0" applyNumberFormat="1" applyFont="1" applyFill="1" applyBorder="1"/>
    <xf numFmtId="6" fontId="7" fillId="11" borderId="2" xfId="0" applyNumberFormat="1" applyFont="1" applyFill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11" borderId="24" xfId="0" applyFont="1" applyFill="1" applyBorder="1" applyAlignment="1">
      <alignment horizontal="center"/>
    </xf>
    <xf numFmtId="0" fontId="7" fillId="11" borderId="25" xfId="0" applyFont="1" applyFill="1" applyBorder="1" applyAlignment="1">
      <alignment horizontal="center"/>
    </xf>
    <xf numFmtId="0" fontId="7" fillId="11" borderId="26" xfId="0" applyFont="1" applyFill="1" applyBorder="1" applyAlignment="1">
      <alignment horizontal="center"/>
    </xf>
    <xf numFmtId="6" fontId="7" fillId="11" borderId="32" xfId="0" applyNumberFormat="1" applyFont="1" applyFill="1" applyBorder="1"/>
    <xf numFmtId="167" fontId="7" fillId="0" borderId="38" xfId="0" applyNumberFormat="1" applyFont="1" applyBorder="1"/>
    <xf numFmtId="6" fontId="7" fillId="11" borderId="38" xfId="0" applyNumberFormat="1" applyFont="1" applyFill="1" applyBorder="1"/>
    <xf numFmtId="0" fontId="9" fillId="4" borderId="7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2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Border="1"/>
    <xf numFmtId="165" fontId="0" fillId="0" borderId="9" xfId="0" applyNumberFormat="1" applyBorder="1"/>
    <xf numFmtId="0" fontId="10" fillId="0" borderId="9" xfId="0" applyFont="1" applyBorder="1"/>
    <xf numFmtId="165" fontId="10" fillId="0" borderId="9" xfId="0" applyNumberFormat="1" applyFont="1" applyBorder="1"/>
    <xf numFmtId="165" fontId="7" fillId="0" borderId="9" xfId="0" applyNumberFormat="1" applyFont="1" applyBorder="1"/>
    <xf numFmtId="0" fontId="7" fillId="0" borderId="0" xfId="0" applyFont="1"/>
    <xf numFmtId="0" fontId="7" fillId="0" borderId="9" xfId="0" applyFont="1" applyBorder="1"/>
    <xf numFmtId="0" fontId="8" fillId="0" borderId="0" xfId="0" applyFont="1"/>
    <xf numFmtId="8" fontId="0" fillId="0" borderId="9" xfId="0" applyNumberFormat="1" applyBorder="1"/>
    <xf numFmtId="8" fontId="10" fillId="0" borderId="9" xfId="0" applyNumberFormat="1" applyFont="1" applyBorder="1"/>
    <xf numFmtId="8" fontId="7" fillId="0" borderId="9" xfId="0" applyNumberFormat="1" applyFont="1" applyBorder="1"/>
    <xf numFmtId="166" fontId="3" fillId="10" borderId="2" xfId="0" applyNumberFormat="1" applyFont="1" applyFill="1" applyBorder="1" applyAlignment="1">
      <alignment horizontal="center"/>
    </xf>
    <xf numFmtId="166" fontId="3" fillId="10" borderId="3" xfId="0" applyNumberFormat="1" applyFont="1" applyFill="1" applyBorder="1" applyAlignment="1">
      <alignment horizontal="center"/>
    </xf>
    <xf numFmtId="0" fontId="12" fillId="0" borderId="0" xfId="0" applyFont="1"/>
    <xf numFmtId="6" fontId="7" fillId="0" borderId="1" xfId="0" applyNumberFormat="1" applyFont="1" applyBorder="1"/>
    <xf numFmtId="0" fontId="13" fillId="0" borderId="1" xfId="0" applyFont="1" applyBorder="1"/>
    <xf numFmtId="0" fontId="13" fillId="0" borderId="20" xfId="0" applyFont="1" applyBorder="1"/>
    <xf numFmtId="0" fontId="13" fillId="0" borderId="0" xfId="0" applyFont="1"/>
    <xf numFmtId="8" fontId="13" fillId="0" borderId="0" xfId="0" applyNumberFormat="1" applyFont="1" applyAlignment="1">
      <alignment horizontal="center"/>
    </xf>
    <xf numFmtId="0" fontId="13" fillId="0" borderId="42" xfId="0" applyFont="1" applyBorder="1"/>
    <xf numFmtId="0" fontId="13" fillId="0" borderId="50" xfId="0" applyFont="1" applyBorder="1"/>
    <xf numFmtId="0" fontId="13" fillId="0" borderId="51" xfId="0" applyFont="1" applyBorder="1"/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8" fontId="12" fillId="0" borderId="0" xfId="0" applyNumberFormat="1" applyFont="1" applyAlignment="1">
      <alignment horizontal="center"/>
    </xf>
    <xf numFmtId="8" fontId="13" fillId="0" borderId="6" xfId="0" applyNumberFormat="1" applyFont="1" applyBorder="1" applyAlignment="1">
      <alignment horizontal="center"/>
    </xf>
    <xf numFmtId="8" fontId="13" fillId="0" borderId="10" xfId="0" applyNumberFormat="1" applyFont="1" applyBorder="1" applyAlignment="1">
      <alignment horizontal="center"/>
    </xf>
    <xf numFmtId="8" fontId="13" fillId="0" borderId="19" xfId="0" applyNumberFormat="1" applyFont="1" applyBorder="1" applyAlignment="1">
      <alignment horizontal="center"/>
    </xf>
    <xf numFmtId="0" fontId="13" fillId="7" borderId="50" xfId="0" applyFont="1" applyFill="1" applyBorder="1"/>
    <xf numFmtId="8" fontId="13" fillId="7" borderId="10" xfId="0" applyNumberFormat="1" applyFont="1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6" fontId="7" fillId="10" borderId="2" xfId="0" applyNumberFormat="1" applyFont="1" applyFill="1" applyBorder="1" applyAlignment="1">
      <alignment horizontal="center"/>
    </xf>
    <xf numFmtId="6" fontId="7" fillId="10" borderId="4" xfId="0" applyNumberFormat="1" applyFont="1" applyFill="1" applyBorder="1" applyAlignment="1">
      <alignment horizontal="center"/>
    </xf>
    <xf numFmtId="6" fontId="7" fillId="10" borderId="38" xfId="0" applyNumberFormat="1" applyFont="1" applyFill="1" applyBorder="1" applyAlignment="1">
      <alignment horizontal="center"/>
    </xf>
    <xf numFmtId="6" fontId="7" fillId="10" borderId="54" xfId="0" applyNumberFormat="1" applyFont="1" applyFill="1" applyBorder="1" applyAlignment="1">
      <alignment horizontal="center"/>
    </xf>
    <xf numFmtId="0" fontId="7" fillId="10" borderId="44" xfId="0" applyFont="1" applyFill="1" applyBorder="1" applyAlignment="1">
      <alignment horizontal="center"/>
    </xf>
    <xf numFmtId="0" fontId="7" fillId="10" borderId="41" xfId="0" applyFont="1" applyFill="1" applyBorder="1" applyAlignment="1">
      <alignment horizontal="center"/>
    </xf>
    <xf numFmtId="0" fontId="7" fillId="10" borderId="38" xfId="0" applyFont="1" applyFill="1" applyBorder="1" applyAlignment="1">
      <alignment horizontal="center"/>
    </xf>
    <xf numFmtId="0" fontId="7" fillId="10" borderId="54" xfId="0" applyFont="1" applyFill="1" applyBorder="1" applyAlignment="1">
      <alignment horizontal="center"/>
    </xf>
    <xf numFmtId="167" fontId="8" fillId="12" borderId="53" xfId="0" applyNumberFormat="1" applyFont="1" applyFill="1" applyBorder="1" applyAlignment="1">
      <alignment horizontal="center" vertical="center"/>
    </xf>
    <xf numFmtId="166" fontId="7" fillId="12" borderId="2" xfId="0" applyNumberFormat="1" applyFont="1" applyFill="1" applyBorder="1"/>
    <xf numFmtId="6" fontId="7" fillId="12" borderId="2" xfId="0" applyNumberFormat="1" applyFont="1" applyFill="1" applyBorder="1"/>
    <xf numFmtId="166" fontId="7" fillId="12" borderId="3" xfId="0" applyNumberFormat="1" applyFont="1" applyFill="1" applyBorder="1"/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166" fontId="13" fillId="0" borderId="38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/>
    </xf>
    <xf numFmtId="0" fontId="15" fillId="7" borderId="45" xfId="0" applyFont="1" applyFill="1" applyBorder="1" applyAlignment="1">
      <alignment horizontal="center" vertical="center"/>
    </xf>
    <xf numFmtId="8" fontId="15" fillId="7" borderId="44" xfId="0" applyNumberFormat="1" applyFont="1" applyFill="1" applyBorder="1" applyAlignment="1">
      <alignment horizontal="center" vertical="center"/>
    </xf>
    <xf numFmtId="8" fontId="15" fillId="7" borderId="45" xfId="0" applyNumberFormat="1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167" fontId="8" fillId="0" borderId="46" xfId="0" applyNumberFormat="1" applyFont="1" applyBorder="1" applyAlignment="1">
      <alignment horizontal="center" vertical="center"/>
    </xf>
    <xf numFmtId="167" fontId="8" fillId="0" borderId="47" xfId="0" applyNumberFormat="1" applyFont="1" applyBorder="1" applyAlignment="1">
      <alignment horizontal="center" vertical="center"/>
    </xf>
    <xf numFmtId="0" fontId="8" fillId="11" borderId="24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31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left"/>
    </xf>
    <xf numFmtId="0" fontId="3" fillId="4" borderId="36" xfId="0" applyFont="1" applyFill="1" applyBorder="1" applyAlignment="1">
      <alignment horizontal="left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8" fontId="6" fillId="0" borderId="44" xfId="0" applyNumberFormat="1" applyFont="1" applyBorder="1" applyAlignment="1">
      <alignment horizontal="center" vertical="center"/>
    </xf>
    <xf numFmtId="8" fontId="6" fillId="0" borderId="32" xfId="0" applyNumberFormat="1" applyFont="1" applyBorder="1" applyAlignment="1">
      <alignment horizontal="center" vertical="center"/>
    </xf>
    <xf numFmtId="0" fontId="3" fillId="9" borderId="5" xfId="0" applyFont="1" applyFill="1" applyBorder="1" applyAlignment="1">
      <alignment horizontal="left"/>
    </xf>
    <xf numFmtId="0" fontId="3" fillId="9" borderId="22" xfId="0" applyFont="1" applyFill="1" applyBorder="1" applyAlignment="1">
      <alignment horizontal="left"/>
    </xf>
    <xf numFmtId="0" fontId="5" fillId="9" borderId="8" xfId="0" applyFont="1" applyFill="1" applyBorder="1" applyAlignment="1">
      <alignment horizontal="left"/>
    </xf>
    <xf numFmtId="0" fontId="5" fillId="9" borderId="15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22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4" borderId="21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0" fontId="5" fillId="6" borderId="22" xfId="0" applyFont="1" applyFill="1" applyBorder="1" applyAlignment="1">
      <alignment horizontal="left"/>
    </xf>
    <xf numFmtId="0" fontId="5" fillId="6" borderId="35" xfId="0" applyFont="1" applyFill="1" applyBorder="1" applyAlignment="1">
      <alignment horizontal="left"/>
    </xf>
    <xf numFmtId="0" fontId="5" fillId="6" borderId="28" xfId="0" applyFont="1" applyFill="1" applyBorder="1" applyAlignment="1">
      <alignment horizontal="left"/>
    </xf>
    <xf numFmtId="0" fontId="5" fillId="3" borderId="24" xfId="0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4" borderId="33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center"/>
    </xf>
    <xf numFmtId="0" fontId="5" fillId="8" borderId="26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34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8" borderId="30" xfId="0" applyFont="1" applyFill="1" applyBorder="1" applyAlignment="1">
      <alignment horizontal="center"/>
    </xf>
    <xf numFmtId="0" fontId="5" fillId="8" borderId="31" xfId="0" applyFont="1" applyFill="1" applyBorder="1" applyAlignment="1">
      <alignment horizontal="center"/>
    </xf>
    <xf numFmtId="0" fontId="5" fillId="8" borderId="33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29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8" fontId="13" fillId="12" borderId="2" xfId="0" applyNumberFormat="1" applyFont="1" applyFill="1" applyBorder="1" applyAlignment="1">
      <alignment horizontal="center"/>
    </xf>
    <xf numFmtId="8" fontId="13" fillId="12" borderId="38" xfId="0" applyNumberFormat="1" applyFont="1" applyFill="1" applyBorder="1" applyAlignment="1">
      <alignment horizontal="center"/>
    </xf>
    <xf numFmtId="8" fontId="16" fillId="12" borderId="44" xfId="0" applyNumberFormat="1" applyFont="1" applyFill="1" applyBorder="1" applyAlignment="1">
      <alignment horizontal="center" vertical="center"/>
    </xf>
    <xf numFmtId="8" fontId="16" fillId="12" borderId="4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AA58-7B63-426B-AA97-356623A16034}">
  <sheetPr>
    <tabColor rgb="FFFFFF00"/>
  </sheetPr>
  <dimension ref="A1:N21"/>
  <sheetViews>
    <sheetView workbookViewId="0">
      <selection activeCell="G23" sqref="G23"/>
    </sheetView>
  </sheetViews>
  <sheetFormatPr defaultRowHeight="17.399999999999999" x14ac:dyDescent="0.35"/>
  <cols>
    <col min="1" max="1" width="21.21875" style="109" customWidth="1"/>
    <col min="2" max="2" width="13.33203125" style="109" customWidth="1"/>
    <col min="3" max="3" width="28.33203125" style="109" bestFit="1" customWidth="1"/>
    <col min="4" max="4" width="19.77734375" style="120" customWidth="1"/>
    <col min="5" max="6" width="8.88671875" style="109"/>
    <col min="7" max="7" width="40.88671875" style="109" customWidth="1"/>
    <col min="8" max="8" width="17.21875" style="120" customWidth="1"/>
    <col min="9" max="16384" width="8.88671875" style="109"/>
  </cols>
  <sheetData>
    <row r="1" spans="1:14" ht="18" thickBot="1" x14ac:dyDescent="0.4"/>
    <row r="2" spans="1:14" ht="18" thickBot="1" x14ac:dyDescent="0.4">
      <c r="A2" s="144" t="s">
        <v>36</v>
      </c>
      <c r="B2" s="145"/>
      <c r="C2" s="145"/>
      <c r="D2" s="146"/>
      <c r="G2" s="147" t="s">
        <v>76</v>
      </c>
      <c r="H2" s="148"/>
    </row>
    <row r="3" spans="1:14" ht="18" thickBot="1" x14ac:dyDescent="0.4">
      <c r="A3" s="111"/>
      <c r="B3" s="118" t="s">
        <v>77</v>
      </c>
      <c r="C3" s="140" t="s">
        <v>78</v>
      </c>
      <c r="D3" s="230" t="s">
        <v>81</v>
      </c>
      <c r="G3" s="149"/>
      <c r="H3" s="150"/>
    </row>
    <row r="4" spans="1:14" ht="18" thickBot="1" x14ac:dyDescent="0.4">
      <c r="A4" s="111" t="s">
        <v>50</v>
      </c>
      <c r="B4" s="118"/>
      <c r="C4" s="141"/>
      <c r="D4" s="230">
        <f ca="1">(Kasa!D16+Kasa!D17+Kasa!D18+Kasa!D19+Kasa!D20+Kasa!D21+Kasa!D22+Kasa!D23)+(Kasa!G3)-(Kasa!C3+Kasa!H3)</f>
        <v>44953.690399999999</v>
      </c>
      <c r="G4" s="115" t="s">
        <v>21</v>
      </c>
      <c r="H4" s="121">
        <f>SUM('1'!I1,'2'!I1,'3'!I1,'4'!I1,'5'!I1,'6'!I1,'7'!I1,'8'!I1,'9'!I1,'10'!I1,'11'!I1,'12'!I1,'13'!I1,'14'!I1,'15'!I1,'16'!I1,'17'!I1,'18'!I1,'19'!I1,'20'!I1,'21'!I1,'22'!I1,'23'!I1,'24'!I1,'25'!I1,'26'!I1,'27'!I1,'28'!I1,'29'!I1,'30'!I1,'31'!I1)</f>
        <v>23443.870000000003</v>
      </c>
    </row>
    <row r="5" spans="1:14" ht="18" thickBot="1" x14ac:dyDescent="0.4">
      <c r="A5" s="112" t="s">
        <v>51</v>
      </c>
      <c r="B5" s="142"/>
      <c r="C5" s="119"/>
      <c r="D5" s="231">
        <f ca="1">(Kasa!D24+Kasa!D25)+(Kasa!G4)-(Kasa!C4+Kasa!H4)</f>
        <v>5128.75</v>
      </c>
      <c r="G5" s="116" t="s">
        <v>22</v>
      </c>
      <c r="H5" s="122">
        <f>SUM('1'!I2,'2'!I2,'3'!I2,'4'!I2,'5'!I2,'6'!I2,'7'!I2,'8'!I2,'9'!I2,'10'!I2,'11'!I2,'12'!I2,'13'!I2,'14'!I2,'15'!I2,'16'!I2,'17'!I2,'18'!I2,'19'!I2,'20'!I2,'21'!I2,'22'!I2,'23'!I2,'24'!I2,'25'!I2,'26'!I2,'27'!I2,'28'!I2,'29'!I2,'30'!I2,'31'!I2)</f>
        <v>12496</v>
      </c>
    </row>
    <row r="6" spans="1:14" ht="18" thickBot="1" x14ac:dyDescent="0.4">
      <c r="A6" s="111" t="s">
        <v>52</v>
      </c>
      <c r="B6" s="118"/>
      <c r="C6" s="141"/>
      <c r="D6" s="230">
        <f ca="1">(Kasa!D26)+(Kasa!G5)-(Kasa!C5+Kasa!H5)</f>
        <v>0</v>
      </c>
      <c r="G6" s="116" t="s">
        <v>68</v>
      </c>
      <c r="H6" s="122">
        <f>SUM('1'!I5,'2'!I5,'3'!I5,'4'!I5,'5'!I5,'6'!I5,'7'!I5,'8'!I5,'9'!I5,'10'!I5,'11'!I5,'12'!I5,'13'!I5,'14'!I5,'15'!I5,'16'!I5,'17'!I5,'18'!I5,'19'!I5,'20'!I5,'21'!I5,'22'!I5,'23'!I5,'24'!I5,'25'!I5,'26'!I5,'27'!I5,'28'!I5,'29'!I5,'30'!I5,'31'!I5)</f>
        <v>10947.870000000003</v>
      </c>
    </row>
    <row r="7" spans="1:14" ht="18" thickBot="1" x14ac:dyDescent="0.4">
      <c r="A7" s="112" t="s">
        <v>53</v>
      </c>
      <c r="B7" s="143">
        <v>212326</v>
      </c>
      <c r="C7" s="119" t="s">
        <v>79</v>
      </c>
      <c r="D7" s="231">
        <f ca="1">(Kasa!G6+Kasa!L3)-(Kasa!C6+Kasa!H6+Kasa!M3)</f>
        <v>44000</v>
      </c>
      <c r="G7" s="116" t="s">
        <v>69</v>
      </c>
      <c r="H7" s="122">
        <f>SUM('1'!I7,'2'!I7,'3'!I7,'4'!I7,'5'!I7,'6'!I7,'7'!I7,'8'!I7,'9'!I7,'10'!I7,'11'!I7,'12'!I7,'13'!I7,'14'!I7,'15'!I7,'16'!I7,'17'!I7,'18'!I7,'19'!I7,'20'!I7,'21'!I7,'22'!I7,'23'!I7,'24'!I7,'25'!I7,'26'!I7,'27'!I7,'28'!I7,'29'!I7,'30'!I7,'31'!I7)</f>
        <v>44000</v>
      </c>
    </row>
    <row r="8" spans="1:14" ht="18" thickBot="1" x14ac:dyDescent="0.4">
      <c r="A8" s="111" t="s">
        <v>54</v>
      </c>
      <c r="B8" s="118"/>
      <c r="C8" s="141"/>
      <c r="D8" s="230">
        <f ca="1">(Kasa!G7+Kasa!L4)-(Kasa!C7+Kasa!H7+Kasa!M4)</f>
        <v>0</v>
      </c>
      <c r="G8" s="116" t="s">
        <v>70</v>
      </c>
      <c r="H8" s="122">
        <f>SUM('1'!I8,'2'!I8,'3'!I8,'4'!I8,'5'!I8,'6'!I8,'7'!I8,'8'!I8,'9'!I8,'10'!I8,'11'!I8,'12'!I8,'13'!I8,'14'!I8,'15'!I8,'16'!I8,'17'!I8,'18'!I8,'19'!I8,'20'!I8,'21'!I8,'22'!I8,'23'!I8,'24'!I8,'25'!I8,'26'!I8,'27'!I8,'28'!I8,'29'!I8,'30'!I8,'31'!I8)</f>
        <v>0</v>
      </c>
    </row>
    <row r="9" spans="1:14" ht="18" thickBot="1" x14ac:dyDescent="0.4">
      <c r="A9" s="112" t="s">
        <v>55</v>
      </c>
      <c r="B9" s="143">
        <v>100000</v>
      </c>
      <c r="C9" s="119" t="s">
        <v>80</v>
      </c>
      <c r="D9" s="231">
        <f ca="1">(Kasa!G8+Kasa!L5)-(Kasa!C8+Kasa!H8+Kasa!M5)</f>
        <v>0</v>
      </c>
      <c r="G9" s="116" t="s">
        <v>71</v>
      </c>
      <c r="H9" s="122">
        <f>SUM('1'!I9,'2'!I9,'3'!I9,'4'!I9,'5'!I9,'6'!I9,'7'!I9,'8'!I9,'9'!I9,'10'!I9,'11'!I9,'12'!I9,'13'!I9,'14'!I9,'15'!I9,'16'!I9,'17'!I9,'18'!I9,'19'!I9,'20'!I9,'21'!I9,'22'!I9,'23'!I9,'24'!I9,'25'!I9,'26'!I9,'27'!I9,'28'!I9,'29'!I9,'30'!I9,'31'!I9)</f>
        <v>44000</v>
      </c>
      <c r="L9" s="2"/>
      <c r="M9" s="2"/>
      <c r="N9" s="2"/>
    </row>
    <row r="10" spans="1:14" ht="18" thickBot="1" x14ac:dyDescent="0.4">
      <c r="A10" s="111" t="s">
        <v>56</v>
      </c>
      <c r="B10" s="118"/>
      <c r="C10" s="141"/>
      <c r="D10" s="230">
        <f ca="1">(Kasa!G9+Kasa!L6)-(Kasa!C9+Kasa!H9+Kasa!M6)</f>
        <v>0</v>
      </c>
      <c r="G10" s="124" t="s">
        <v>23</v>
      </c>
      <c r="H10" s="125">
        <f>H4+H7</f>
        <v>67443.87</v>
      </c>
      <c r="L10" s="2"/>
      <c r="M10" s="2"/>
      <c r="N10" s="2"/>
    </row>
    <row r="11" spans="1:14" ht="18" thickBot="1" x14ac:dyDescent="0.4">
      <c r="A11" s="111" t="s">
        <v>57</v>
      </c>
      <c r="B11" s="118"/>
      <c r="C11" s="141"/>
      <c r="D11" s="230">
        <f ca="1">(Kasa!G10+Kasa!L7)-(Kasa!C10+Kasa!H10+Kasa!M7)</f>
        <v>0</v>
      </c>
      <c r="G11" s="124" t="s">
        <v>72</v>
      </c>
      <c r="H11" s="125">
        <f>H5+H8</f>
        <v>12496</v>
      </c>
      <c r="L11" s="2"/>
      <c r="M11" s="2"/>
      <c r="N11" s="2"/>
    </row>
    <row r="12" spans="1:14" ht="18" thickBot="1" x14ac:dyDescent="0.4">
      <c r="A12" s="112"/>
      <c r="B12" s="142"/>
      <c r="C12" s="119"/>
      <c r="D12" s="231">
        <v>0</v>
      </c>
      <c r="G12" s="124" t="s">
        <v>73</v>
      </c>
      <c r="H12" s="125">
        <f>SUM('1'!I3,'2'!I3,'3'!I3,'4'!I3,'5'!I3,'6'!I3,'7'!I3,'8'!I3,'9'!I3,'10'!I3,'11'!I3,'12'!I3,'13'!I3,'14'!I3,'15'!I3,'16'!I3,'17'!I3,'18'!I3,'19'!I3,'20'!I3,'21'!I3,'22'!I3,'23'!I3,'24'!I3,'25'!I3,'26'!I3,'27'!I3,'28'!I3,'29'!I3,'30'!I3,'31'!I3)</f>
        <v>2047.4295999999999</v>
      </c>
      <c r="L12" s="2"/>
      <c r="M12" s="2"/>
      <c r="N12" s="2"/>
    </row>
    <row r="13" spans="1:14" ht="18" thickBot="1" x14ac:dyDescent="0.4">
      <c r="A13" s="111"/>
      <c r="B13" s="118"/>
      <c r="C13" s="141"/>
      <c r="D13" s="230">
        <v>0</v>
      </c>
      <c r="G13" s="124" t="s">
        <v>74</v>
      </c>
      <c r="H13" s="125">
        <f>SUM('1'!I13,'2'!I13,'3'!I13,'4'!I13,'5'!I13,'6'!I13,'7'!I13,'8'!I13,'9'!I13,'10'!I13,'11'!I13,'12'!I13,'13'!I13,'14'!I13,'15'!I13,'16'!I13,'17'!I13,'18'!I13,'19'!I13,'20'!I13,'21'!I13,'22'!I13,'23'!I13,'24'!I13,'25'!I13,'26'!I13,'27'!I13,'28'!I13,'29'!I13,'30'!I13,'31'!I13)</f>
        <v>0</v>
      </c>
      <c r="L13" s="2"/>
      <c r="M13" s="2"/>
      <c r="N13" s="2"/>
    </row>
    <row r="14" spans="1:14" ht="18" thickBot="1" x14ac:dyDescent="0.4">
      <c r="A14" s="112"/>
      <c r="B14" s="142"/>
      <c r="C14" s="119"/>
      <c r="D14" s="231">
        <v>0</v>
      </c>
      <c r="G14" s="117"/>
      <c r="H14" s="123"/>
      <c r="L14" s="2"/>
      <c r="M14" s="2"/>
      <c r="N14" s="2"/>
    </row>
    <row r="15" spans="1:14" ht="18" thickBot="1" x14ac:dyDescent="0.4">
      <c r="A15" s="111"/>
      <c r="B15" s="118"/>
      <c r="C15" s="141"/>
      <c r="D15" s="230">
        <v>0</v>
      </c>
      <c r="G15" s="151" t="s">
        <v>75</v>
      </c>
      <c r="H15" s="153">
        <f>H10-(H11+H12+H13)</f>
        <v>52900.440399999992</v>
      </c>
    </row>
    <row r="16" spans="1:14" ht="18" thickBot="1" x14ac:dyDescent="0.4">
      <c r="A16" s="112"/>
      <c r="B16" s="142"/>
      <c r="C16" s="119"/>
      <c r="D16" s="231">
        <v>0</v>
      </c>
      <c r="G16" s="152"/>
      <c r="H16" s="154"/>
    </row>
    <row r="17" spans="1:10" ht="18" thickBot="1" x14ac:dyDescent="0.4">
      <c r="A17" s="111"/>
      <c r="B17" s="118"/>
      <c r="C17" s="141"/>
      <c r="D17" s="230">
        <v>0</v>
      </c>
      <c r="G17" s="113"/>
      <c r="H17" s="114"/>
    </row>
    <row r="18" spans="1:10" ht="18" thickBot="1" x14ac:dyDescent="0.4">
      <c r="A18" s="112"/>
      <c r="B18" s="142"/>
      <c r="C18" s="119"/>
      <c r="D18" s="231">
        <v>0</v>
      </c>
      <c r="G18" s="113"/>
      <c r="H18" s="114"/>
    </row>
    <row r="19" spans="1:10" ht="18" thickBot="1" x14ac:dyDescent="0.4">
      <c r="A19" s="111"/>
      <c r="B19" s="118"/>
      <c r="C19" s="141"/>
      <c r="D19" s="230">
        <v>0</v>
      </c>
      <c r="G19" s="113"/>
      <c r="H19" s="114"/>
    </row>
    <row r="20" spans="1:10" ht="19.8" customHeight="1" x14ac:dyDescent="0.35">
      <c r="A20" s="155" t="s">
        <v>67</v>
      </c>
      <c r="B20" s="157"/>
      <c r="C20" s="157"/>
      <c r="D20" s="232">
        <f ca="1">SUM(D4:D19)</f>
        <v>94082.440399999992</v>
      </c>
      <c r="G20" s="113"/>
      <c r="H20" s="114"/>
    </row>
    <row r="21" spans="1:10" ht="18" thickBot="1" x14ac:dyDescent="0.4">
      <c r="A21" s="156"/>
      <c r="B21" s="158"/>
      <c r="C21" s="158"/>
      <c r="D21" s="233"/>
      <c r="J21" s="113"/>
    </row>
  </sheetData>
  <sheetProtection algorithmName="SHA-512" hashValue="WS2AOBN9Db+wGVlKIMEje4u3CsZ8A/iaIaqoIrLnK1HnUQCxGRjj5M0HvFOAxS5u8rlyGk9C7IybFsTA4dUZWA==" saltValue="/k+ZOO7H3PO/4vrdSrV9cg==" spinCount="100000" sheet="1" objects="1" scenarios="1"/>
  <mergeCells count="8">
    <mergeCell ref="A2:D2"/>
    <mergeCell ref="G2:H3"/>
    <mergeCell ref="G15:G16"/>
    <mergeCell ref="H15:H16"/>
    <mergeCell ref="A20:A21"/>
    <mergeCell ref="D20:D21"/>
    <mergeCell ref="B20:B21"/>
    <mergeCell ref="C20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10EA-19B3-4A25-BFAF-4A9A144FBD9F}">
  <sheetPr>
    <tabColor rgb="FFFF0000"/>
  </sheetPr>
  <dimension ref="A1:R35"/>
  <sheetViews>
    <sheetView workbookViewId="0">
      <selection activeCell="F10" sqref="F10"/>
    </sheetView>
  </sheetViews>
  <sheetFormatPr defaultRowHeight="14.4" x14ac:dyDescent="0.3"/>
  <cols>
    <col min="1" max="1" width="8.109375" style="74" bestFit="1" customWidth="1"/>
    <col min="4" max="4" width="11.109375" bestFit="1" customWidth="1"/>
    <col min="7" max="7" width="11" customWidth="1"/>
    <col min="8" max="8" width="9.21875" bestFit="1" customWidth="1"/>
    <col min="10" max="10" width="11.6640625" customWidth="1"/>
    <col min="11" max="12" width="9.21875" customWidth="1"/>
    <col min="13" max="13" width="12" customWidth="1"/>
    <col min="14" max="14" width="9.88671875" customWidth="1"/>
    <col min="15" max="15" width="9.6640625" customWidth="1"/>
    <col min="16" max="16" width="9.77734375" customWidth="1"/>
    <col min="17" max="18" width="8.88671875" style="12"/>
  </cols>
  <sheetData>
    <row r="1" spans="1:18" ht="15" thickBot="1" x14ac:dyDescent="0.35">
      <c r="A1" s="162" t="s">
        <v>46</v>
      </c>
      <c r="B1" s="159" t="s">
        <v>28</v>
      </c>
      <c r="C1" s="160"/>
      <c r="D1" s="161"/>
      <c r="E1" s="159" t="s">
        <v>34</v>
      </c>
      <c r="F1" s="160"/>
      <c r="G1" s="161"/>
      <c r="H1" s="159" t="s">
        <v>35</v>
      </c>
      <c r="I1" s="160"/>
      <c r="J1" s="161"/>
      <c r="K1" s="159" t="s">
        <v>64</v>
      </c>
      <c r="L1" s="160"/>
      <c r="M1" s="161"/>
      <c r="N1" s="164" t="s">
        <v>47</v>
      </c>
      <c r="O1" s="165"/>
      <c r="P1" s="166"/>
      <c r="Q1" s="132" t="s">
        <v>25</v>
      </c>
      <c r="R1" s="133" t="s">
        <v>26</v>
      </c>
    </row>
    <row r="2" spans="1:18" ht="15" thickBot="1" x14ac:dyDescent="0.35">
      <c r="A2" s="163"/>
      <c r="B2" s="82" t="s">
        <v>25</v>
      </c>
      <c r="C2" s="83" t="s">
        <v>26</v>
      </c>
      <c r="D2" s="84" t="s">
        <v>29</v>
      </c>
      <c r="E2" s="82" t="s">
        <v>25</v>
      </c>
      <c r="F2" s="83" t="s">
        <v>26</v>
      </c>
      <c r="G2" s="84" t="s">
        <v>29</v>
      </c>
      <c r="H2" s="82" t="s">
        <v>25</v>
      </c>
      <c r="I2" s="83" t="s">
        <v>26</v>
      </c>
      <c r="J2" s="84" t="s">
        <v>29</v>
      </c>
      <c r="K2" s="82" t="s">
        <v>25</v>
      </c>
      <c r="L2" s="83" t="s">
        <v>26</v>
      </c>
      <c r="M2" s="84" t="s">
        <v>29</v>
      </c>
      <c r="N2" s="85" t="s">
        <v>25</v>
      </c>
      <c r="O2" s="86" t="s">
        <v>26</v>
      </c>
      <c r="P2" s="87" t="s">
        <v>48</v>
      </c>
      <c r="Q2" s="134" t="s">
        <v>49</v>
      </c>
      <c r="R2" s="135" t="s">
        <v>49</v>
      </c>
    </row>
    <row r="3" spans="1:18" ht="15" thickBot="1" x14ac:dyDescent="0.35">
      <c r="A3" s="136" t="s">
        <v>65</v>
      </c>
      <c r="B3" s="137">
        <f>SUMIF(Devir!$M$3:$M$13,"OKİCEY",Devir!$K$3:$K$13)</f>
        <v>720000</v>
      </c>
      <c r="C3" s="137">
        <f>SUMIF(Devir!$M$3:$M$13,"OKİCEY",Devir!$L$3:$L$13)</f>
        <v>0</v>
      </c>
      <c r="D3" s="138">
        <f>B3-C3</f>
        <v>720000</v>
      </c>
      <c r="E3" s="137">
        <f>SUMIF(Devir!$M$3:$M$13,"MARDİNLİ47",Devir!$K$3:$K$13)</f>
        <v>0</v>
      </c>
      <c r="F3" s="139">
        <f>SUMIF(Devir!$M$3:$M$13,"MARDİNLİ47",Devir!$L$3:$L$13)</f>
        <v>0</v>
      </c>
      <c r="G3" s="138">
        <f>E3-F3</f>
        <v>0</v>
      </c>
      <c r="H3" s="137">
        <f>SUMIF(Devir!$M$3:$M$13,"KEMALGEZER",Devir!$K$3:$K$13)</f>
        <v>10000</v>
      </c>
      <c r="I3" s="139">
        <f>SUMIF(Devir!$M$3:$M$13,"KEMALGEZER",Devir!$L$3:$L$13)</f>
        <v>0</v>
      </c>
      <c r="J3" s="138">
        <f>H3-I3</f>
        <v>10000</v>
      </c>
      <c r="K3" s="137">
        <f>SUMIF(Devir!$M$3:$M$13,"MUTOK35",Devir!$K$3:$K$13)</f>
        <v>2000</v>
      </c>
      <c r="L3" s="139">
        <f>SUMIF(Devir!$M$3:$M$13,"MUTOK35",Devir!$L$3:$L$13)</f>
        <v>0</v>
      </c>
      <c r="M3" s="138">
        <f>K3-L3</f>
        <v>2000</v>
      </c>
      <c r="N3" s="137">
        <f>SUM(B3+E3+H3+K3)</f>
        <v>732000</v>
      </c>
      <c r="O3" s="139">
        <f>SUM(C3+F3+I3+L3)</f>
        <v>0</v>
      </c>
      <c r="P3" s="138">
        <f>N3-O3</f>
        <v>732000</v>
      </c>
      <c r="Q3" s="128">
        <f>(N3)-(Devir!$K$14)</f>
        <v>0</v>
      </c>
      <c r="R3" s="129">
        <f>(O3)-(Devir!$L$14)</f>
        <v>0</v>
      </c>
    </row>
    <row r="4" spans="1:18" ht="15" thickBot="1" x14ac:dyDescent="0.35">
      <c r="A4" s="75">
        <v>45200</v>
      </c>
      <c r="B4" s="77">
        <f>SUMIF('1'!$M$3:$M$13,"OKİCEY",'1'!$K$3:$K$13)</f>
        <v>40000</v>
      </c>
      <c r="C4" s="76">
        <f>SUMIF('1'!$M$3:$M$13,"OKİCEY",'1'!$L$3:$L$13)</f>
        <v>0</v>
      </c>
      <c r="D4" s="78">
        <f>(D3)+(B4-C4)</f>
        <v>760000</v>
      </c>
      <c r="E4" s="77">
        <f>SUMIF('1'!$M$3:$M$13,"MARDİNLİ47",'1'!$K$3:$K$13)</f>
        <v>0</v>
      </c>
      <c r="F4" s="76">
        <f>SUMIF('1'!$M$3:$M$13,"MARDİNLİ47",'1'!$L$3:$L$13)</f>
        <v>0</v>
      </c>
      <c r="G4" s="78">
        <f>(G3)+(E4-F4)</f>
        <v>0</v>
      </c>
      <c r="H4" s="77">
        <f>SUMIF('1'!$M$3:$M$13,"KEMALGEZER",'1'!$K$3:$K$13)</f>
        <v>1000</v>
      </c>
      <c r="I4" s="76">
        <f>SUMIF('1'!$M$3:$M$13,"KEMALGEZER",'1'!$L$3:$L$13)</f>
        <v>0</v>
      </c>
      <c r="J4" s="78">
        <f>(J3)+(H4-I4)</f>
        <v>11000</v>
      </c>
      <c r="K4" s="77">
        <f>SUMIF('1'!$M$3:$M$13,"MUTOK35",'1'!$K$3:$K$13)</f>
        <v>3000</v>
      </c>
      <c r="L4" s="76">
        <f>SUMIF('1'!$M$3:$M$13,"MUTOK35",'1'!$L$3:$L$13)</f>
        <v>0</v>
      </c>
      <c r="M4" s="78">
        <f>(M3)+(K4-L4)</f>
        <v>5000</v>
      </c>
      <c r="N4" s="80">
        <f>SUM(B4+E4+H4+K4)</f>
        <v>44000</v>
      </c>
      <c r="O4" s="79">
        <f>SUM(C4+F4+I4+L4)</f>
        <v>0</v>
      </c>
      <c r="P4" s="81">
        <f>N4-O4</f>
        <v>44000</v>
      </c>
      <c r="Q4" s="128">
        <f>(N4)-('1'!$K$14)</f>
        <v>0</v>
      </c>
      <c r="R4" s="129">
        <f>(O4)-('1'!$L$14)</f>
        <v>0</v>
      </c>
    </row>
    <row r="5" spans="1:18" ht="15" thickBot="1" x14ac:dyDescent="0.35">
      <c r="A5" s="89">
        <v>45201</v>
      </c>
      <c r="B5" s="77">
        <f>SUMIF('2'!$M$3:$M$13,"OKİCEY",'2'!$K$3:$K$13)</f>
        <v>0</v>
      </c>
      <c r="C5" s="76">
        <f>SUMIF('2'!$M$3:$M$13,"OKİCEY",'2'!$L$3:$L$13)</f>
        <v>0</v>
      </c>
      <c r="D5" s="78">
        <f t="shared" ref="D5:D34" si="0">(D4)+(B5-C5)</f>
        <v>760000</v>
      </c>
      <c r="E5" s="77">
        <f>SUMIF('2'!$M$3:$M$13,"MARDİNLİ47",'2'!$K$3:$K$13)</f>
        <v>0</v>
      </c>
      <c r="F5" s="76">
        <f>SUMIF('2'!$M$3:$M$13,"MARDİNLİ47",'2'!$L$3:$L$13)</f>
        <v>0</v>
      </c>
      <c r="G5" s="78">
        <f t="shared" ref="G5:G34" si="1">(G4)+(E5-F5)</f>
        <v>0</v>
      </c>
      <c r="H5" s="77">
        <f>SUMIF('2'!$M$3:$M$13,"KEMALGEZER",'2'!$K$3:$K$13)</f>
        <v>0</v>
      </c>
      <c r="I5" s="76">
        <f>SUMIF('2'!$M$3:$M$13,"KEMALGEZER",'2'!$L$3:$L$13)</f>
        <v>0</v>
      </c>
      <c r="J5" s="78">
        <f t="shared" ref="J5:J34" si="2">(J4)+(H5-I5)</f>
        <v>11000</v>
      </c>
      <c r="K5" s="77">
        <f>SUMIF('2'!$M$3:$M$13,"MUTOK35",'2'!$K$3:$K$13)</f>
        <v>0</v>
      </c>
      <c r="L5" s="76">
        <f>SUMIF('2'!$M$3:$M$13,"MUTOK35",'2'!$L$3:$L$13)</f>
        <v>0</v>
      </c>
      <c r="M5" s="78">
        <f t="shared" ref="M5:M34" si="3">(M4)+(K5-L5)</f>
        <v>5000</v>
      </c>
      <c r="N5" s="80">
        <f t="shared" ref="N5:N34" si="4">SUM(B5+E5+H5+K5)</f>
        <v>0</v>
      </c>
      <c r="O5" s="79">
        <f t="shared" ref="O5:O34" si="5">SUM(C5+F5+I5+L5)</f>
        <v>0</v>
      </c>
      <c r="P5" s="90">
        <f t="shared" ref="P5:P34" si="6">N5-O5</f>
        <v>0</v>
      </c>
      <c r="Q5" s="130">
        <f>(N5)-('2'!$K$14)</f>
        <v>0</v>
      </c>
      <c r="R5" s="131">
        <f>(O5)-('2'!$L$14)</f>
        <v>0</v>
      </c>
    </row>
    <row r="6" spans="1:18" ht="15" thickBot="1" x14ac:dyDescent="0.35">
      <c r="A6" s="75">
        <v>45202</v>
      </c>
      <c r="B6" s="77">
        <f>SUMIF('3'!$M$3:$M$13,"OKİCEY",'3'!$K$3:$K$13)</f>
        <v>0</v>
      </c>
      <c r="C6" s="76">
        <f>SUMIF('3'!$M$3:$M$13,"OKİCEY",'3'!$L$3:$L$13)</f>
        <v>0</v>
      </c>
      <c r="D6" s="78">
        <f t="shared" si="0"/>
        <v>760000</v>
      </c>
      <c r="E6" s="77">
        <f>SUMIF('3'!$M$3:$M$13,"MARDİNLİ47",'3'!$K$3:$K$13)</f>
        <v>0</v>
      </c>
      <c r="F6" s="76">
        <f>SUMIF('3'!$M$3:$M$13,"MARDİNLİ47",'3'!$L$3:$L$13)</f>
        <v>0</v>
      </c>
      <c r="G6" s="78">
        <f t="shared" si="1"/>
        <v>0</v>
      </c>
      <c r="H6" s="77">
        <f>SUMIF('3'!$M$3:$M$13,"KEMALGEZER",'3'!$K$3:$K$13)</f>
        <v>0</v>
      </c>
      <c r="I6" s="76">
        <f>SUMIF('3'!$M$3:$M$13,"KEMALGEZER",'3'!$L$3:$L$13)</f>
        <v>0</v>
      </c>
      <c r="J6" s="78">
        <f t="shared" si="2"/>
        <v>11000</v>
      </c>
      <c r="K6" s="77">
        <f>SUMIF('3'!$M$3:$M$13,"MUTOK35",'3'!$K$3:$K$13)</f>
        <v>0</v>
      </c>
      <c r="L6" s="76">
        <f>SUMIF('3'!$M$3:$M$13,"MUTOK35",'3'!$L$3:$L$13)</f>
        <v>0</v>
      </c>
      <c r="M6" s="78">
        <f t="shared" si="3"/>
        <v>5000</v>
      </c>
      <c r="N6" s="80">
        <f t="shared" si="4"/>
        <v>0</v>
      </c>
      <c r="O6" s="79">
        <f t="shared" si="5"/>
        <v>0</v>
      </c>
      <c r="P6" s="81">
        <f t="shared" si="6"/>
        <v>0</v>
      </c>
      <c r="Q6" s="128">
        <f>(N6)-('3'!$K$14)</f>
        <v>0</v>
      </c>
      <c r="R6" s="129">
        <f>(O6)-('3'!$L$14)</f>
        <v>0</v>
      </c>
    </row>
    <row r="7" spans="1:18" ht="15" thickBot="1" x14ac:dyDescent="0.35">
      <c r="A7" s="89">
        <v>45203</v>
      </c>
      <c r="B7" s="77">
        <f>SUMIF('4'!$M$3:$M$13,"OKİCEY",'4'!$K$3:$K$13)</f>
        <v>0</v>
      </c>
      <c r="C7" s="76">
        <f>SUMIF('4'!$M$3:$M$13,"OKİCEY",'4'!$L$3:$L$13)</f>
        <v>0</v>
      </c>
      <c r="D7" s="78">
        <f t="shared" si="0"/>
        <v>760000</v>
      </c>
      <c r="E7" s="77">
        <f>SUMIF('4'!$M$3:$M$13,"MARDİNLİ47",'4'!$K$3:$K$13)</f>
        <v>0</v>
      </c>
      <c r="F7" s="76">
        <f>SUMIF('4'!$M$3:$M$13,"MARDİNLİ47",'4'!$L$3:$L$13)</f>
        <v>0</v>
      </c>
      <c r="G7" s="78">
        <f t="shared" si="1"/>
        <v>0</v>
      </c>
      <c r="H7" s="77">
        <f>SUMIF('4'!$M$3:$M$13,"KEMALGEZER",'4'!$K$3:$K$13)</f>
        <v>0</v>
      </c>
      <c r="I7" s="76">
        <f>SUMIF('4'!$M$3:$M$13,"KEMALGEZER",'4'!$L$3:$L$13)</f>
        <v>0</v>
      </c>
      <c r="J7" s="78">
        <f t="shared" si="2"/>
        <v>11000</v>
      </c>
      <c r="K7" s="77">
        <f>SUMIF('4'!$M$3:$M$13,"MUTOK35",'4'!$K$3:$K$13)</f>
        <v>0</v>
      </c>
      <c r="L7" s="76">
        <f>SUMIF('4'!$M$3:$M$13,"MUTOK35",'4'!$L$3:$L$13)</f>
        <v>0</v>
      </c>
      <c r="M7" s="78">
        <f t="shared" si="3"/>
        <v>5000</v>
      </c>
      <c r="N7" s="80">
        <f t="shared" si="4"/>
        <v>0</v>
      </c>
      <c r="O7" s="79">
        <f t="shared" si="5"/>
        <v>0</v>
      </c>
      <c r="P7" s="90">
        <f t="shared" si="6"/>
        <v>0</v>
      </c>
      <c r="Q7" s="130">
        <f>(N7)-('4'!$K$14)</f>
        <v>0</v>
      </c>
      <c r="R7" s="131">
        <f>(O7)-('4'!$L$14)</f>
        <v>0</v>
      </c>
    </row>
    <row r="8" spans="1:18" ht="15" thickBot="1" x14ac:dyDescent="0.35">
      <c r="A8" s="75">
        <v>45204</v>
      </c>
      <c r="B8" s="77">
        <f>SUMIF('5'!$M$3:$M$13,"OKİCEY",'5'!$K$3:$K$13)</f>
        <v>0</v>
      </c>
      <c r="C8" s="76">
        <f>SUMIF('5'!$M$3:$M$13,"OKİCEY",'5'!$L$3:$L$13)</f>
        <v>0</v>
      </c>
      <c r="D8" s="78">
        <f t="shared" si="0"/>
        <v>760000</v>
      </c>
      <c r="E8" s="77">
        <f>SUMIF('5'!$M$3:$M$13,"MARDİNLİ47",'5'!$K$3:$K$13)</f>
        <v>0</v>
      </c>
      <c r="F8" s="76">
        <f>SUMIF('5'!$M$3:$M$13,"MARDİNLİ47",'5'!$L$3:$L$13)</f>
        <v>0</v>
      </c>
      <c r="G8" s="78">
        <f t="shared" si="1"/>
        <v>0</v>
      </c>
      <c r="H8" s="77">
        <f>SUMIF('5'!$M$3:$M$13,"KEMALGEZER",'5'!$K$3:$K$13)</f>
        <v>0</v>
      </c>
      <c r="I8" s="76">
        <f>SUMIF('5'!$M$3:$M$13,"KEMALGEZER",'5'!$L$3:$L$13)</f>
        <v>0</v>
      </c>
      <c r="J8" s="78">
        <f t="shared" si="2"/>
        <v>11000</v>
      </c>
      <c r="K8" s="77">
        <f>SUMIF('5'!$M$3:$M$13,"MUTOK35",'5'!$K$3:$K$13)</f>
        <v>0</v>
      </c>
      <c r="L8" s="76">
        <f>SUMIF('5'!$M$3:$M$13,"MUTOK35",'5'!$L$3:$L$13)</f>
        <v>0</v>
      </c>
      <c r="M8" s="78">
        <f t="shared" si="3"/>
        <v>5000</v>
      </c>
      <c r="N8" s="80">
        <f t="shared" si="4"/>
        <v>0</v>
      </c>
      <c r="O8" s="79">
        <f t="shared" si="5"/>
        <v>0</v>
      </c>
      <c r="P8" s="81">
        <f t="shared" si="6"/>
        <v>0</v>
      </c>
      <c r="Q8" s="128">
        <f>(N8)-('5'!$K$14)</f>
        <v>0</v>
      </c>
      <c r="R8" s="129">
        <f>(O8)-('5'!$L$14)</f>
        <v>0</v>
      </c>
    </row>
    <row r="9" spans="1:18" ht="15" thickBot="1" x14ac:dyDescent="0.35">
      <c r="A9" s="89">
        <v>45205</v>
      </c>
      <c r="B9" s="77">
        <f>SUMIF('6'!$M$3:$M$13,"OKİCEY",'6'!$K$3:$K$13)</f>
        <v>0</v>
      </c>
      <c r="C9" s="76">
        <f>SUMIF('6'!$M$3:$M$13,"OKİCEY",'6'!$L$3:$L$13)</f>
        <v>0</v>
      </c>
      <c r="D9" s="78">
        <f t="shared" si="0"/>
        <v>760000</v>
      </c>
      <c r="E9" s="77">
        <f>SUMIF('6'!$M$3:$M$13,"MARDİNLİ47",'6'!$K$3:$K$13)</f>
        <v>0</v>
      </c>
      <c r="F9" s="76">
        <f>SUMIF('6'!$M$3:$M$13,"MARDİNLİ47",'6'!$L$3:$L$13)</f>
        <v>0</v>
      </c>
      <c r="G9" s="78">
        <f t="shared" si="1"/>
        <v>0</v>
      </c>
      <c r="H9" s="77">
        <f>SUMIF('6'!$M$3:$M$13,"KEMALGEZER",'6'!$K$3:$K$13)</f>
        <v>0</v>
      </c>
      <c r="I9" s="76">
        <f>SUMIF('6'!$M$3:$M$13,"KEMALGEZER",'6'!$L$3:$L$13)</f>
        <v>0</v>
      </c>
      <c r="J9" s="78">
        <f t="shared" si="2"/>
        <v>11000</v>
      </c>
      <c r="K9" s="77">
        <f>SUMIF('6'!$M$3:$M$13,"MUTOK35",'6'!$K$3:$K$13)</f>
        <v>0</v>
      </c>
      <c r="L9" s="76">
        <f>SUMIF('6'!$M$3:$M$13,"MUTOK35",'6'!$L$3:$L$13)</f>
        <v>0</v>
      </c>
      <c r="M9" s="78">
        <f t="shared" si="3"/>
        <v>5000</v>
      </c>
      <c r="N9" s="80">
        <f t="shared" si="4"/>
        <v>0</v>
      </c>
      <c r="O9" s="79">
        <f t="shared" si="5"/>
        <v>0</v>
      </c>
      <c r="P9" s="90">
        <f t="shared" si="6"/>
        <v>0</v>
      </c>
      <c r="Q9" s="130">
        <f>(N9)-('6'!$K$14)</f>
        <v>0</v>
      </c>
      <c r="R9" s="131">
        <f>(O9)-('6'!$L$14)</f>
        <v>0</v>
      </c>
    </row>
    <row r="10" spans="1:18" ht="15" thickBot="1" x14ac:dyDescent="0.35">
      <c r="A10" s="75">
        <v>45206</v>
      </c>
      <c r="B10" s="77">
        <f>SUMIF('7'!$M$3:$M$13,"OKİCEY",'7'!$K$3:$K$13)</f>
        <v>0</v>
      </c>
      <c r="C10" s="76">
        <f>SUMIF('7'!$M$3:$M$13,"OKİCEY",'7'!$L$3:$L$13)</f>
        <v>0</v>
      </c>
      <c r="D10" s="78">
        <f t="shared" si="0"/>
        <v>760000</v>
      </c>
      <c r="E10" s="77">
        <f>SUMIF('7'!$M$3:$M$13,"MARDİNLİ47",'7'!$K$3:$K$13)</f>
        <v>0</v>
      </c>
      <c r="F10" s="76">
        <f>SUMIF('7'!$M$3:$M$13,"MARDİNLİ47",'7'!$L$3:$L$13)</f>
        <v>0</v>
      </c>
      <c r="G10" s="78">
        <f t="shared" si="1"/>
        <v>0</v>
      </c>
      <c r="H10" s="77">
        <f>SUMIF('7'!$M$3:$M$13,"KEMALGEZER",'7'!$K$3:$K$13)</f>
        <v>0</v>
      </c>
      <c r="I10" s="76">
        <f>SUMIF('7'!$M$3:$M$13,"KEMALGEZER",'7'!$L$3:$L$13)</f>
        <v>0</v>
      </c>
      <c r="J10" s="78">
        <f t="shared" si="2"/>
        <v>11000</v>
      </c>
      <c r="K10" s="77">
        <f>SUMIF('7'!$M$3:$M$13,"MUTOK35",'7'!$K$3:$K$13)</f>
        <v>0</v>
      </c>
      <c r="L10" s="76">
        <f>SUMIF('7'!$M$3:$M$13,"MUTOK35",'7'!$L$3:$L$13)</f>
        <v>0</v>
      </c>
      <c r="M10" s="78">
        <f t="shared" si="3"/>
        <v>5000</v>
      </c>
      <c r="N10" s="80">
        <f t="shared" si="4"/>
        <v>0</v>
      </c>
      <c r="O10" s="79">
        <f t="shared" si="5"/>
        <v>0</v>
      </c>
      <c r="P10" s="81">
        <f t="shared" si="6"/>
        <v>0</v>
      </c>
      <c r="Q10" s="128">
        <f>(N10)-('7'!$K$14)</f>
        <v>0</v>
      </c>
      <c r="R10" s="129">
        <f>(O10)-('7'!$L$14)</f>
        <v>0</v>
      </c>
    </row>
    <row r="11" spans="1:18" ht="15" thickBot="1" x14ac:dyDescent="0.35">
      <c r="A11" s="89">
        <v>45207</v>
      </c>
      <c r="B11" s="77">
        <f>SUMIF('8'!$M$3:$M$13,"OKİCEY",'8'!$K$3:$K$13)</f>
        <v>0</v>
      </c>
      <c r="C11" s="76">
        <f>SUMIF('8'!$M$3:$M$13,"OKİCEY",'8'!$L$3:$L$13)</f>
        <v>0</v>
      </c>
      <c r="D11" s="78">
        <f t="shared" si="0"/>
        <v>760000</v>
      </c>
      <c r="E11" s="77">
        <f>SUMIF('8'!$M$3:$M$13,"MARDİNLİ47",'8'!$K$3:$K$13)</f>
        <v>0</v>
      </c>
      <c r="F11" s="76">
        <f>SUMIF('8'!$M$3:$M$13,"MARDİNLİ47",'8'!$L$3:$L$13)</f>
        <v>0</v>
      </c>
      <c r="G11" s="78">
        <f t="shared" si="1"/>
        <v>0</v>
      </c>
      <c r="H11" s="77">
        <f>SUMIF('8'!$M$3:$M$13,"KEMALGEZER",'8'!$K$3:$K$13)</f>
        <v>0</v>
      </c>
      <c r="I11" s="76">
        <f>SUMIF('8'!$M$3:$M$13,"KEMALGEZER",'8'!$L$3:$L$13)</f>
        <v>0</v>
      </c>
      <c r="J11" s="78">
        <f t="shared" si="2"/>
        <v>11000</v>
      </c>
      <c r="K11" s="77">
        <f>SUMIF('8'!$M$3:$M$13,"MUTOK35",'8'!$K$3:$K$13)</f>
        <v>0</v>
      </c>
      <c r="L11" s="76">
        <f>SUMIF('8'!$M$3:$M$13,"MUTOK35",'8'!$L$3:$L$13)</f>
        <v>0</v>
      </c>
      <c r="M11" s="78">
        <f t="shared" si="3"/>
        <v>5000</v>
      </c>
      <c r="N11" s="80">
        <f t="shared" si="4"/>
        <v>0</v>
      </c>
      <c r="O11" s="79">
        <f t="shared" si="5"/>
        <v>0</v>
      </c>
      <c r="P11" s="90">
        <f t="shared" si="6"/>
        <v>0</v>
      </c>
      <c r="Q11" s="130">
        <f>(N11)-('8'!$K$14)</f>
        <v>0</v>
      </c>
      <c r="R11" s="131">
        <f>(O11)-('8'!$L$14)</f>
        <v>0</v>
      </c>
    </row>
    <row r="12" spans="1:18" ht="15" thickBot="1" x14ac:dyDescent="0.35">
      <c r="A12" s="75">
        <v>45208</v>
      </c>
      <c r="B12" s="77">
        <f>SUMIF('9'!$M$3:$M$13,"OKİCEY",'9'!$K$3:$K$13)</f>
        <v>0</v>
      </c>
      <c r="C12" s="76">
        <f>SUMIF('9'!$M$3:$M$13,"OKİCEY",'9'!$L$3:$L$13)</f>
        <v>0</v>
      </c>
      <c r="D12" s="78">
        <f t="shared" si="0"/>
        <v>760000</v>
      </c>
      <c r="E12" s="77">
        <f>SUMIF('9'!$M$3:$M$13,"MARDİNLİ47",'9'!$K$3:$K$13)</f>
        <v>0</v>
      </c>
      <c r="F12" s="76">
        <f>SUMIF('9'!$M$3:$M$13,"MARDİNLİ47",'9'!$L$3:$L$13)</f>
        <v>0</v>
      </c>
      <c r="G12" s="78">
        <f t="shared" si="1"/>
        <v>0</v>
      </c>
      <c r="H12" s="77">
        <f>SUMIF('9'!$M$3:$M$13,"KEMALGEZER",'9'!$K$3:$K$13)</f>
        <v>0</v>
      </c>
      <c r="I12" s="76">
        <f>SUMIF('9'!$M$3:$M$13,"KEMALGEZER",'9'!$L$3:$L$13)</f>
        <v>0</v>
      </c>
      <c r="J12" s="78">
        <f t="shared" si="2"/>
        <v>11000</v>
      </c>
      <c r="K12" s="77">
        <f>SUMIF('9'!$M$3:$M$13,"MUTOK35",'9'!$K$3:$K$13)</f>
        <v>0</v>
      </c>
      <c r="L12" s="76">
        <f>SUMIF('9'!$M$3:$M$13,"MUTOK35",'9'!$L$3:$L$13)</f>
        <v>0</v>
      </c>
      <c r="M12" s="78">
        <f t="shared" si="3"/>
        <v>5000</v>
      </c>
      <c r="N12" s="80">
        <f t="shared" si="4"/>
        <v>0</v>
      </c>
      <c r="O12" s="79">
        <f t="shared" si="5"/>
        <v>0</v>
      </c>
      <c r="P12" s="81">
        <f t="shared" si="6"/>
        <v>0</v>
      </c>
      <c r="Q12" s="128">
        <f>(N12)-('9'!$K$14)</f>
        <v>0</v>
      </c>
      <c r="R12" s="129">
        <f>(O12)-('9'!$L$14)</f>
        <v>0</v>
      </c>
    </row>
    <row r="13" spans="1:18" ht="15" thickBot="1" x14ac:dyDescent="0.35">
      <c r="A13" s="89">
        <v>45209</v>
      </c>
      <c r="B13" s="77">
        <f>SUMIF('10'!$M$3:$M$13,"OKİCEY",'10'!$K$3:$K$13)</f>
        <v>0</v>
      </c>
      <c r="C13" s="76">
        <f>SUMIF('10'!$M$3:$M$13,"OKİCEY",'10'!$L$3:$L$13)</f>
        <v>0</v>
      </c>
      <c r="D13" s="78">
        <f t="shared" si="0"/>
        <v>760000</v>
      </c>
      <c r="E13" s="77">
        <f>SUMIF('10'!$M$3:$M$13,"MARDİNLİ47",'10'!$K$3:$K$13)</f>
        <v>0</v>
      </c>
      <c r="F13" s="76">
        <f>SUMIF('10'!$M$3:$M$13,"MARDİNLİ47",'10'!$L$3:$L$13)</f>
        <v>0</v>
      </c>
      <c r="G13" s="78">
        <f t="shared" si="1"/>
        <v>0</v>
      </c>
      <c r="H13" s="77">
        <f>SUMIF('10'!$M$3:$M$13,"KEMALGEZER",'10'!$K$3:$K$13)</f>
        <v>0</v>
      </c>
      <c r="I13" s="76">
        <f>SUMIF('10'!$M$3:$M$13,"KEMALGEZER",'10'!$L$3:$L$13)</f>
        <v>0</v>
      </c>
      <c r="J13" s="78">
        <f t="shared" si="2"/>
        <v>11000</v>
      </c>
      <c r="K13" s="77">
        <f>SUMIF('10'!$M$3:$M$13,"MUTOK35",'10'!$K$3:$K$13)</f>
        <v>0</v>
      </c>
      <c r="L13" s="76">
        <f>SUMIF('10'!$M$3:$M$13,"MUTOK35",'10'!$L$3:$L$13)</f>
        <v>0</v>
      </c>
      <c r="M13" s="78">
        <f t="shared" si="3"/>
        <v>5000</v>
      </c>
      <c r="N13" s="80">
        <f t="shared" si="4"/>
        <v>0</v>
      </c>
      <c r="O13" s="79">
        <f t="shared" si="5"/>
        <v>0</v>
      </c>
      <c r="P13" s="90">
        <f t="shared" si="6"/>
        <v>0</v>
      </c>
      <c r="Q13" s="130">
        <f>(N13)-('10'!$K$14)</f>
        <v>0</v>
      </c>
      <c r="R13" s="131">
        <f>(O13)-('10'!$L$14)</f>
        <v>0</v>
      </c>
    </row>
    <row r="14" spans="1:18" ht="15" thickBot="1" x14ac:dyDescent="0.35">
      <c r="A14" s="75">
        <v>45210</v>
      </c>
      <c r="B14" s="77">
        <f>SUMIF('11'!$M$3:$M$13,"OKİCEY",'11'!$K$3:$K$13)</f>
        <v>0</v>
      </c>
      <c r="C14" s="76">
        <f>SUMIF('11'!$M$3:$M$13,"OKİCEY",'11'!$L$3:$L$13)</f>
        <v>0</v>
      </c>
      <c r="D14" s="78">
        <f t="shared" si="0"/>
        <v>760000</v>
      </c>
      <c r="E14" s="77">
        <f>SUMIF('11'!$M$3:$M$13,"MARDİNLİ47",'11'!$K$3:$K$13)</f>
        <v>0</v>
      </c>
      <c r="F14" s="76">
        <f>SUMIF('11'!$M$3:$M$13,"MARDİNLİ47",'11'!$L$3:$L$13)</f>
        <v>0</v>
      </c>
      <c r="G14" s="78">
        <f t="shared" si="1"/>
        <v>0</v>
      </c>
      <c r="H14" s="77">
        <f>SUMIF('11'!$M$3:$M$13,"KEMALGEZER",'11'!$K$3:$K$13)</f>
        <v>0</v>
      </c>
      <c r="I14" s="76">
        <f>SUMIF('11'!$M$3:$M$13,"KEMALGEZER",'11'!$L$3:$L$13)</f>
        <v>0</v>
      </c>
      <c r="J14" s="78">
        <f t="shared" si="2"/>
        <v>11000</v>
      </c>
      <c r="K14" s="77">
        <f>SUMIF('11'!$M$3:$M$13,"MUTOK35",'11'!$K$3:$K$13)</f>
        <v>0</v>
      </c>
      <c r="L14" s="76">
        <f>SUMIF('11'!$M$3:$M$13,"MUTOK35",'11'!$L$3:$L$13)</f>
        <v>0</v>
      </c>
      <c r="M14" s="78">
        <f t="shared" si="3"/>
        <v>5000</v>
      </c>
      <c r="N14" s="80">
        <f t="shared" si="4"/>
        <v>0</v>
      </c>
      <c r="O14" s="79">
        <f t="shared" si="5"/>
        <v>0</v>
      </c>
      <c r="P14" s="81">
        <f t="shared" si="6"/>
        <v>0</v>
      </c>
      <c r="Q14" s="128">
        <f>(N14)-('11'!$K$14)</f>
        <v>0</v>
      </c>
      <c r="R14" s="129">
        <f>(O14)-('11'!$L$14)</f>
        <v>0</v>
      </c>
    </row>
    <row r="15" spans="1:18" ht="15" thickBot="1" x14ac:dyDescent="0.35">
      <c r="A15" s="89">
        <v>45211</v>
      </c>
      <c r="B15" s="77">
        <f>SUMIF('12'!$M$3:$M$13,"OKİCEY",'12'!$K$3:$K$13)</f>
        <v>0</v>
      </c>
      <c r="C15" s="76">
        <f>SUMIF('12'!$M$3:$M$13,"OKİCEY",'12'!$L$3:$L$13)</f>
        <v>0</v>
      </c>
      <c r="D15" s="78">
        <f t="shared" si="0"/>
        <v>760000</v>
      </c>
      <c r="E15" s="77">
        <f>SUMIF('12'!$M$3:$M$13,"MARDİNLİ47",'12'!$K$3:$K$13)</f>
        <v>0</v>
      </c>
      <c r="F15" s="76">
        <f>SUMIF('12'!$M$3:$M$13,"MARDİNLİ47",'12'!$L$3:$L$13)</f>
        <v>0</v>
      </c>
      <c r="G15" s="78">
        <f t="shared" si="1"/>
        <v>0</v>
      </c>
      <c r="H15" s="77">
        <f>SUMIF('12'!$M$3:$M$13,"KEMALGEZER",'12'!$K$3:$K$13)</f>
        <v>0</v>
      </c>
      <c r="I15" s="76">
        <f>SUMIF('12'!$M$3:$M$13,"KEMALGEZER",'12'!$L$3:$L$13)</f>
        <v>0</v>
      </c>
      <c r="J15" s="78">
        <f t="shared" si="2"/>
        <v>11000</v>
      </c>
      <c r="K15" s="77">
        <f>SUMIF('12'!$M$3:$M$13,"MUTOK35",'12'!$K$3:$K$13)</f>
        <v>0</v>
      </c>
      <c r="L15" s="76">
        <f>SUMIF('12'!$M$3:$M$13,"MUTOK35",'12'!$L$3:$L$13)</f>
        <v>0</v>
      </c>
      <c r="M15" s="78">
        <f t="shared" si="3"/>
        <v>5000</v>
      </c>
      <c r="N15" s="80">
        <f t="shared" si="4"/>
        <v>0</v>
      </c>
      <c r="O15" s="79">
        <f t="shared" si="5"/>
        <v>0</v>
      </c>
      <c r="P15" s="90">
        <f t="shared" si="6"/>
        <v>0</v>
      </c>
      <c r="Q15" s="130">
        <f>(N15)-('12'!$K$14)</f>
        <v>0</v>
      </c>
      <c r="R15" s="131">
        <f>(O15)-('12'!$L$14)</f>
        <v>0</v>
      </c>
    </row>
    <row r="16" spans="1:18" ht="15" thickBot="1" x14ac:dyDescent="0.35">
      <c r="A16" s="75">
        <v>45212</v>
      </c>
      <c r="B16" s="77">
        <f>SUMIF('13'!$M$3:$M$13,"OKİCEY",'13'!$K$3:$K$13)</f>
        <v>0</v>
      </c>
      <c r="C16" s="76">
        <f>SUMIF('13'!$M$3:$M$13,"OKİCEY",'13'!$L$3:$L$13)</f>
        <v>0</v>
      </c>
      <c r="D16" s="78">
        <f t="shared" si="0"/>
        <v>760000</v>
      </c>
      <c r="E16" s="77">
        <f>SUMIF('13'!$M$3:$M$13,"MARDİNLİ47",'13'!$K$3:$K$13)</f>
        <v>0</v>
      </c>
      <c r="F16" s="76">
        <f>SUMIF('13'!$M$3:$M$13,"MARDİNLİ47",'13'!$L$3:$L$13)</f>
        <v>0</v>
      </c>
      <c r="G16" s="78">
        <f t="shared" si="1"/>
        <v>0</v>
      </c>
      <c r="H16" s="77">
        <f>SUMIF('13'!$M$3:$M$13,"KEMALGEZER",'13'!$K$3:$K$13)</f>
        <v>0</v>
      </c>
      <c r="I16" s="76">
        <f>SUMIF('13'!$M$3:$M$13,"KEMALGEZER",'13'!$L$3:$L$13)</f>
        <v>0</v>
      </c>
      <c r="J16" s="78">
        <f t="shared" si="2"/>
        <v>11000</v>
      </c>
      <c r="K16" s="77">
        <f>SUMIF('13'!$M$3:$M$13,"MUTOK35",'13'!$K$3:$K$13)</f>
        <v>0</v>
      </c>
      <c r="L16" s="76">
        <f>SUMIF('13'!$M$3:$M$13,"MUTOK35",'13'!$L$3:$L$13)</f>
        <v>0</v>
      </c>
      <c r="M16" s="78">
        <f t="shared" si="3"/>
        <v>5000</v>
      </c>
      <c r="N16" s="80">
        <f t="shared" si="4"/>
        <v>0</v>
      </c>
      <c r="O16" s="79">
        <f t="shared" si="5"/>
        <v>0</v>
      </c>
      <c r="P16" s="81">
        <f t="shared" si="6"/>
        <v>0</v>
      </c>
      <c r="Q16" s="128">
        <f>(N16)-('13'!$K$14)</f>
        <v>0</v>
      </c>
      <c r="R16" s="129">
        <f>(O16)-('13'!$L$14)</f>
        <v>0</v>
      </c>
    </row>
    <row r="17" spans="1:18" ht="15" thickBot="1" x14ac:dyDescent="0.35">
      <c r="A17" s="89">
        <v>45213</v>
      </c>
      <c r="B17" s="77">
        <f>SUMIF('14'!$M$3:$M$13,"OKİCEY",'14'!$K$3:$K$13)</f>
        <v>0</v>
      </c>
      <c r="C17" s="76">
        <f>SUMIF('14'!$M$3:$M$13,"OKİCEY",'14'!$L$3:$L$13)</f>
        <v>0</v>
      </c>
      <c r="D17" s="78">
        <f t="shared" si="0"/>
        <v>760000</v>
      </c>
      <c r="E17" s="77">
        <f>SUMIF('14'!$M$3:$M$13,"MARDİNLİ47",'14'!$K$3:$K$13)</f>
        <v>0</v>
      </c>
      <c r="F17" s="76">
        <f>SUMIF('14'!$M$3:$M$13,"MARDİNLİ47",'14'!$L$3:$L$13)</f>
        <v>0</v>
      </c>
      <c r="G17" s="78">
        <f t="shared" si="1"/>
        <v>0</v>
      </c>
      <c r="H17" s="77">
        <f>SUMIF('14'!$M$3:$M$13,"KEMALGEZER",'14'!$K$3:$K$13)</f>
        <v>0</v>
      </c>
      <c r="I17" s="76">
        <f>SUMIF('14'!$M$3:$M$13,"KEMALGEZER",'14'!$L$3:$L$13)</f>
        <v>0</v>
      </c>
      <c r="J17" s="78">
        <f t="shared" si="2"/>
        <v>11000</v>
      </c>
      <c r="K17" s="77">
        <f>SUMIF('14'!$M$3:$M$13,"MUTOK35",'14'!$K$3:$K$13)</f>
        <v>0</v>
      </c>
      <c r="L17" s="76">
        <f>SUMIF('14'!$M$3:$M$13,"MUTOK35",'14'!$L$3:$L$13)</f>
        <v>0</v>
      </c>
      <c r="M17" s="78">
        <f t="shared" si="3"/>
        <v>5000</v>
      </c>
      <c r="N17" s="80">
        <f t="shared" si="4"/>
        <v>0</v>
      </c>
      <c r="O17" s="79">
        <f t="shared" si="5"/>
        <v>0</v>
      </c>
      <c r="P17" s="90">
        <f t="shared" si="6"/>
        <v>0</v>
      </c>
      <c r="Q17" s="130">
        <f>(N17)-('14'!$K$14)</f>
        <v>0</v>
      </c>
      <c r="R17" s="131">
        <f>(O17)-('14'!$L$14)</f>
        <v>0</v>
      </c>
    </row>
    <row r="18" spans="1:18" ht="15" thickBot="1" x14ac:dyDescent="0.35">
      <c r="A18" s="75">
        <v>45214</v>
      </c>
      <c r="B18" s="77">
        <f>SUMIF('15'!$M$3:$M$13,"OKİCEY",'15'!$K$3:$K$13)</f>
        <v>0</v>
      </c>
      <c r="C18" s="76">
        <f>SUMIF('15'!$M$3:$M$13,"OKİCEY",'15'!$L$3:$L$13)</f>
        <v>0</v>
      </c>
      <c r="D18" s="78">
        <f t="shared" si="0"/>
        <v>760000</v>
      </c>
      <c r="E18" s="77">
        <f>SUMIF('15'!$M$3:$M$13,"MARDİNLİ47",'15'!$K$3:$K$13)</f>
        <v>0</v>
      </c>
      <c r="F18" s="76">
        <f>SUMIF('15'!$M$3:$M$13,"MARDİNLİ47",'15'!$L$3:$L$13)</f>
        <v>0</v>
      </c>
      <c r="G18" s="78">
        <f t="shared" si="1"/>
        <v>0</v>
      </c>
      <c r="H18" s="77">
        <f>SUMIF('15'!$M$3:$M$13,"KEMALGEZER",'15'!$K$3:$K$13)</f>
        <v>0</v>
      </c>
      <c r="I18" s="76">
        <f>SUMIF('15'!$M$3:$M$13,"KEMALGEZER",'15'!$L$3:$L$13)</f>
        <v>0</v>
      </c>
      <c r="J18" s="78">
        <f t="shared" si="2"/>
        <v>11000</v>
      </c>
      <c r="K18" s="77">
        <f>SUMIF('15'!$M$3:$M$13,"MUTOK35",'15'!$K$3:$K$13)</f>
        <v>0</v>
      </c>
      <c r="L18" s="76">
        <f>SUMIF('15'!$M$3:$M$13,"MUTOK35",'15'!$L$3:$L$13)</f>
        <v>0</v>
      </c>
      <c r="M18" s="78">
        <f t="shared" si="3"/>
        <v>5000</v>
      </c>
      <c r="N18" s="80">
        <f t="shared" si="4"/>
        <v>0</v>
      </c>
      <c r="O18" s="79">
        <f t="shared" si="5"/>
        <v>0</v>
      </c>
      <c r="P18" s="81">
        <f t="shared" si="6"/>
        <v>0</v>
      </c>
      <c r="Q18" s="128">
        <f>(N18)-('15'!$K$14)</f>
        <v>0</v>
      </c>
      <c r="R18" s="129">
        <f>(O18)-('15'!$L$14)</f>
        <v>0</v>
      </c>
    </row>
    <row r="19" spans="1:18" ht="15" thickBot="1" x14ac:dyDescent="0.35">
      <c r="A19" s="89">
        <v>45215</v>
      </c>
      <c r="B19" s="77">
        <f>SUMIF('16'!$M$3:$M$13,"OKİCEY",'16'!$K$3:$K$13)</f>
        <v>0</v>
      </c>
      <c r="C19" s="76">
        <f>SUMIF('16'!$M$3:$M$13,"OKİCEY",'16'!$L$3:$L$13)</f>
        <v>0</v>
      </c>
      <c r="D19" s="78">
        <f t="shared" si="0"/>
        <v>760000</v>
      </c>
      <c r="E19" s="77">
        <f>SUMIF('16'!$M$3:$M$13,"MARDİNLİ47",'16'!$K$3:$K$13)</f>
        <v>0</v>
      </c>
      <c r="F19" s="76">
        <f>SUMIF('16'!$M$3:$M$13,"MARDİNLİ47",'16'!$L$3:$L$13)</f>
        <v>0</v>
      </c>
      <c r="G19" s="78">
        <f t="shared" si="1"/>
        <v>0</v>
      </c>
      <c r="H19" s="77">
        <f>SUMIF('16'!$M$3:$M$13,"KEMALGEZER",'16'!$K$3:$K$13)</f>
        <v>0</v>
      </c>
      <c r="I19" s="76">
        <f>SUMIF('16'!$M$3:$M$13,"KEMALGEZER",'16'!$L$3:$L$13)</f>
        <v>0</v>
      </c>
      <c r="J19" s="78">
        <f t="shared" si="2"/>
        <v>11000</v>
      </c>
      <c r="K19" s="77">
        <f>SUMIF('16'!$M$3:$M$13,"MUTOK35",'16'!$K$3:$K$13)</f>
        <v>0</v>
      </c>
      <c r="L19" s="76">
        <f>SUMIF('16'!$M$3:$M$13,"MUTOK35",'16'!$L$3:$L$13)</f>
        <v>0</v>
      </c>
      <c r="M19" s="78">
        <f t="shared" si="3"/>
        <v>5000</v>
      </c>
      <c r="N19" s="80">
        <f t="shared" si="4"/>
        <v>0</v>
      </c>
      <c r="O19" s="79">
        <f t="shared" si="5"/>
        <v>0</v>
      </c>
      <c r="P19" s="90">
        <f t="shared" si="6"/>
        <v>0</v>
      </c>
      <c r="Q19" s="130">
        <f>(N19)-('16'!$K$14)</f>
        <v>0</v>
      </c>
      <c r="R19" s="131">
        <f>(O19)-('16'!$L$14)</f>
        <v>0</v>
      </c>
    </row>
    <row r="20" spans="1:18" ht="15" thickBot="1" x14ac:dyDescent="0.35">
      <c r="A20" s="75">
        <v>45216</v>
      </c>
      <c r="B20" s="77">
        <f>SUMIF('17'!$M$3:$M$13,"OKİCEY",'17'!$K$3:$K$13)</f>
        <v>0</v>
      </c>
      <c r="C20" s="76">
        <f>SUMIF('17'!$M$3:$M$13,"OKİCEY",'17'!$L$3:$L$13)</f>
        <v>0</v>
      </c>
      <c r="D20" s="78">
        <f t="shared" si="0"/>
        <v>760000</v>
      </c>
      <c r="E20" s="77">
        <f>SUMIF('17'!$M$3:$M$13,"MARDİNLİ47",'17'!$K$3:$K$13)</f>
        <v>0</v>
      </c>
      <c r="F20" s="76">
        <f>SUMIF('17'!$M$3:$M$13,"MARDİNLİ47",'17'!$L$3:$L$13)</f>
        <v>0</v>
      </c>
      <c r="G20" s="78">
        <f t="shared" si="1"/>
        <v>0</v>
      </c>
      <c r="H20" s="77">
        <f>SUMIF('17'!$M$3:$M$13,"KEMALGEZER",'17'!$K$3:$K$13)</f>
        <v>0</v>
      </c>
      <c r="I20" s="76">
        <f>SUMIF('17'!$M$3:$M$13,"KEMALGEZER",'17'!$L$3:$L$13)</f>
        <v>0</v>
      </c>
      <c r="J20" s="78">
        <f t="shared" si="2"/>
        <v>11000</v>
      </c>
      <c r="K20" s="77">
        <f>SUMIF('17'!$M$3:$M$13,"MUTOK35",'17'!$K$3:$K$13)</f>
        <v>0</v>
      </c>
      <c r="L20" s="76">
        <f>SUMIF('17'!$M$3:$M$13,"MUTOK35",'17'!$L$3:$L$13)</f>
        <v>0</v>
      </c>
      <c r="M20" s="78">
        <f t="shared" si="3"/>
        <v>5000</v>
      </c>
      <c r="N20" s="80">
        <f t="shared" si="4"/>
        <v>0</v>
      </c>
      <c r="O20" s="79">
        <f t="shared" si="5"/>
        <v>0</v>
      </c>
      <c r="P20" s="81">
        <f t="shared" si="6"/>
        <v>0</v>
      </c>
      <c r="Q20" s="128">
        <f>(N20)-('17'!$K$14)</f>
        <v>0</v>
      </c>
      <c r="R20" s="129">
        <f>(O20)-('17'!$L$14)</f>
        <v>0</v>
      </c>
    </row>
    <row r="21" spans="1:18" ht="15" thickBot="1" x14ac:dyDescent="0.35">
      <c r="A21" s="89">
        <v>45217</v>
      </c>
      <c r="B21" s="77">
        <f>SUMIF('18'!$M$3:$M$13,"OKİCEY",'18'!$K$3:$K$13)</f>
        <v>0</v>
      </c>
      <c r="C21" s="76">
        <f>SUMIF('18'!$M$3:$M$13,"OKİCEY",'18'!$L$3:$L$13)</f>
        <v>0</v>
      </c>
      <c r="D21" s="78">
        <f t="shared" si="0"/>
        <v>760000</v>
      </c>
      <c r="E21" s="77">
        <f>SUMIF('18'!$M$3:$M$13,"MARDİNLİ47",'18'!$K$3:$K$13)</f>
        <v>0</v>
      </c>
      <c r="F21" s="76">
        <f>SUMIF('18'!$M$3:$M$13,"MARDİNLİ47",'18'!$L$3:$L$13)</f>
        <v>0</v>
      </c>
      <c r="G21" s="78">
        <f t="shared" si="1"/>
        <v>0</v>
      </c>
      <c r="H21" s="77">
        <f>SUMIF('18'!$M$3:$M$13,"KEMALGEZER",'18'!$K$3:$K$13)</f>
        <v>0</v>
      </c>
      <c r="I21" s="76">
        <f>SUMIF('18'!$M$3:$M$13,"KEMALGEZER",'18'!$L$3:$L$13)</f>
        <v>0</v>
      </c>
      <c r="J21" s="78">
        <f t="shared" si="2"/>
        <v>11000</v>
      </c>
      <c r="K21" s="77">
        <f>SUMIF('18'!$M$3:$M$13,"MUTOK35",'18'!$K$3:$K$13)</f>
        <v>0</v>
      </c>
      <c r="L21" s="76">
        <f>SUMIF('18'!$M$3:$M$13,"MUTOK35",'18'!$L$3:$L$13)</f>
        <v>0</v>
      </c>
      <c r="M21" s="78">
        <f t="shared" si="3"/>
        <v>5000</v>
      </c>
      <c r="N21" s="80">
        <f t="shared" si="4"/>
        <v>0</v>
      </c>
      <c r="O21" s="79">
        <f t="shared" si="5"/>
        <v>0</v>
      </c>
      <c r="P21" s="90">
        <f t="shared" si="6"/>
        <v>0</v>
      </c>
      <c r="Q21" s="130">
        <f>(N21)-('18'!$K$14)</f>
        <v>0</v>
      </c>
      <c r="R21" s="131">
        <f>(O21)-('18'!$L$14)</f>
        <v>0</v>
      </c>
    </row>
    <row r="22" spans="1:18" ht="15" thickBot="1" x14ac:dyDescent="0.35">
      <c r="A22" s="75">
        <v>45218</v>
      </c>
      <c r="B22" s="77">
        <f>SUMIF('19'!$M$3:$M$13,"OKİCEY",'19'!$K$3:$K$13)</f>
        <v>0</v>
      </c>
      <c r="C22" s="76">
        <f>SUMIF('19'!$M$3:$M$13,"OKİCEY",'19'!$L$3:$L$13)</f>
        <v>0</v>
      </c>
      <c r="D22" s="78">
        <f t="shared" si="0"/>
        <v>760000</v>
      </c>
      <c r="E22" s="77">
        <f>SUMIF('19'!$M$3:$M$13,"MARDİNLİ47",'19'!$K$3:$K$13)</f>
        <v>0</v>
      </c>
      <c r="F22" s="76">
        <f>SUMIF('19'!$M$3:$M$13,"MARDİNLİ47",'19'!$L$3:$L$13)</f>
        <v>0</v>
      </c>
      <c r="G22" s="78">
        <f t="shared" si="1"/>
        <v>0</v>
      </c>
      <c r="H22" s="77">
        <f>SUMIF('19'!$M$3:$M$13,"KEMALGEZER",'19'!$K$3:$K$13)</f>
        <v>0</v>
      </c>
      <c r="I22" s="76">
        <f>SUMIF('19'!$M$3:$M$13,"KEMALGEZER",'19'!$L$3:$L$13)</f>
        <v>0</v>
      </c>
      <c r="J22" s="78">
        <f t="shared" si="2"/>
        <v>11000</v>
      </c>
      <c r="K22" s="77">
        <f>SUMIF('19'!$M$3:$M$13,"MUTOK35",'19'!$K$3:$K$13)</f>
        <v>0</v>
      </c>
      <c r="L22" s="76">
        <f>SUMIF('19'!$M$3:$M$13,"MUTOK35",'19'!$L$3:$L$13)</f>
        <v>0</v>
      </c>
      <c r="M22" s="78">
        <f t="shared" si="3"/>
        <v>5000</v>
      </c>
      <c r="N22" s="80">
        <f t="shared" si="4"/>
        <v>0</v>
      </c>
      <c r="O22" s="79">
        <f t="shared" si="5"/>
        <v>0</v>
      </c>
      <c r="P22" s="81">
        <f t="shared" si="6"/>
        <v>0</v>
      </c>
      <c r="Q22" s="128">
        <f>(N22)-('19'!$K$14)</f>
        <v>0</v>
      </c>
      <c r="R22" s="129">
        <f>(O22)-('19'!$L$14)</f>
        <v>0</v>
      </c>
    </row>
    <row r="23" spans="1:18" ht="15" thickBot="1" x14ac:dyDescent="0.35">
      <c r="A23" s="89">
        <v>45219</v>
      </c>
      <c r="B23" s="77">
        <f>SUMIF('20'!$M$3:$M$13,"OKİCEY",'20'!$K$3:$K$13)</f>
        <v>0</v>
      </c>
      <c r="C23" s="76">
        <f>SUMIF('20'!$M$3:$M$13,"OKİCEY",'20'!$L$3:$L$13)</f>
        <v>0</v>
      </c>
      <c r="D23" s="78">
        <f t="shared" si="0"/>
        <v>760000</v>
      </c>
      <c r="E23" s="77">
        <f>SUMIF('20'!$M$3:$M$13,"MARDİNLİ47",'20'!$K$3:$K$13)</f>
        <v>0</v>
      </c>
      <c r="F23" s="76">
        <f>SUMIF('20'!$M$3:$M$13,"MARDİNLİ47",'20'!$L$3:$L$13)</f>
        <v>0</v>
      </c>
      <c r="G23" s="78">
        <f t="shared" si="1"/>
        <v>0</v>
      </c>
      <c r="H23" s="77">
        <f>SUMIF('20'!$M$3:$M$13,"KEMALGEZER",'20'!$K$3:$K$13)</f>
        <v>0</v>
      </c>
      <c r="I23" s="76">
        <f>SUMIF('20'!$M$3:$M$13,"KEMALGEZER",'20'!$L$3:$L$13)</f>
        <v>0</v>
      </c>
      <c r="J23" s="78">
        <f t="shared" si="2"/>
        <v>11000</v>
      </c>
      <c r="K23" s="77">
        <f>SUMIF('20'!$M$3:$M$13,"MUTOK35",'20'!$K$3:$K$13)</f>
        <v>0</v>
      </c>
      <c r="L23" s="76">
        <f>SUMIF('20'!$M$3:$M$13,"MUTOK35",'20'!$L$3:$L$13)</f>
        <v>0</v>
      </c>
      <c r="M23" s="78">
        <f t="shared" si="3"/>
        <v>5000</v>
      </c>
      <c r="N23" s="80">
        <f t="shared" si="4"/>
        <v>0</v>
      </c>
      <c r="O23" s="79">
        <f t="shared" si="5"/>
        <v>0</v>
      </c>
      <c r="P23" s="90">
        <f t="shared" si="6"/>
        <v>0</v>
      </c>
      <c r="Q23" s="130">
        <f>(N23)-('20'!$K$14)</f>
        <v>0</v>
      </c>
      <c r="R23" s="131">
        <f>(O23)-('20'!$L$14)</f>
        <v>0</v>
      </c>
    </row>
    <row r="24" spans="1:18" ht="15" thickBot="1" x14ac:dyDescent="0.35">
      <c r="A24" s="75">
        <v>45220</v>
      </c>
      <c r="B24" s="77">
        <f>SUMIF('21'!$M$3:$M$13,"OKİCEY",'21'!$K$3:$K$13)</f>
        <v>0</v>
      </c>
      <c r="C24" s="76">
        <f>SUMIF('21'!$M$3:$M$13,"OKİCEY",'21'!$L$3:$L$13)</f>
        <v>0</v>
      </c>
      <c r="D24" s="78">
        <f t="shared" si="0"/>
        <v>760000</v>
      </c>
      <c r="E24" s="77">
        <f>SUMIF('21'!$M$3:$M$13,"MARDİNLİ47",'21'!$K$3:$K$13)</f>
        <v>0</v>
      </c>
      <c r="F24" s="76">
        <f>SUMIF('21'!$M$3:$M$13,"MARDİNLİ47",'21'!$L$3:$L$13)</f>
        <v>0</v>
      </c>
      <c r="G24" s="78">
        <f t="shared" si="1"/>
        <v>0</v>
      </c>
      <c r="H24" s="77">
        <f>SUMIF('21'!$M$3:$M$13,"KEMALGEZER",'21'!$K$3:$K$13)</f>
        <v>0</v>
      </c>
      <c r="I24" s="76">
        <f>SUMIF('21'!$M$3:$M$13,"KEMALGEZER",'21'!$L$3:$L$13)</f>
        <v>0</v>
      </c>
      <c r="J24" s="78">
        <f t="shared" si="2"/>
        <v>11000</v>
      </c>
      <c r="K24" s="77">
        <f>SUMIF('21'!$M$3:$M$13,"MUTOK35",'21'!$K$3:$K$13)</f>
        <v>0</v>
      </c>
      <c r="L24" s="76">
        <f>SUMIF('21'!$M$3:$M$13,"MUTOK35",'21'!$L$3:$L$13)</f>
        <v>0</v>
      </c>
      <c r="M24" s="78">
        <f t="shared" si="3"/>
        <v>5000</v>
      </c>
      <c r="N24" s="80">
        <f t="shared" si="4"/>
        <v>0</v>
      </c>
      <c r="O24" s="79">
        <f t="shared" si="5"/>
        <v>0</v>
      </c>
      <c r="P24" s="81">
        <f t="shared" si="6"/>
        <v>0</v>
      </c>
      <c r="Q24" s="128">
        <f>(N24)-('21'!$K$14)</f>
        <v>0</v>
      </c>
      <c r="R24" s="129">
        <f>(O24)-('21'!$L$14)</f>
        <v>0</v>
      </c>
    </row>
    <row r="25" spans="1:18" ht="15" thickBot="1" x14ac:dyDescent="0.35">
      <c r="A25" s="89">
        <v>45221</v>
      </c>
      <c r="B25" s="77">
        <f>SUMIF('22'!$M$3:$M$13,"OKİCEY",'22'!$K$3:$K$13)</f>
        <v>0</v>
      </c>
      <c r="C25" s="76">
        <f>SUMIF('22'!$M$3:$M$13,"OKİCEY",'22'!$L$3:$L$13)</f>
        <v>0</v>
      </c>
      <c r="D25" s="78">
        <f t="shared" si="0"/>
        <v>760000</v>
      </c>
      <c r="E25" s="77">
        <f>SUMIF('22'!$M$3:$M$13,"MARDİNLİ47",'22'!$K$3:$K$13)</f>
        <v>0</v>
      </c>
      <c r="F25" s="76">
        <f>SUMIF('22'!$M$3:$M$13,"MARDİNLİ47",'22'!$L$3:$L$13)</f>
        <v>0</v>
      </c>
      <c r="G25" s="78">
        <f t="shared" si="1"/>
        <v>0</v>
      </c>
      <c r="H25" s="77">
        <f>SUMIF('22'!$M$3:$M$13,"KEMALGEZER",'22'!$K$3:$K$13)</f>
        <v>0</v>
      </c>
      <c r="I25" s="76">
        <f>SUMIF('22'!$M$3:$M$13,"KEMALGEZER",'22'!$L$3:$L$13)</f>
        <v>0</v>
      </c>
      <c r="J25" s="78">
        <f t="shared" si="2"/>
        <v>11000</v>
      </c>
      <c r="K25" s="77">
        <f>SUMIF('22'!$M$3:$M$13,"MUTOK35",'22'!$K$3:$K$13)</f>
        <v>0</v>
      </c>
      <c r="L25" s="76">
        <f>SUMIF('22'!$M$3:$M$13,"MUTOK35",'22'!$L$3:$L$13)</f>
        <v>0</v>
      </c>
      <c r="M25" s="78">
        <f t="shared" si="3"/>
        <v>5000</v>
      </c>
      <c r="N25" s="80">
        <f t="shared" si="4"/>
        <v>0</v>
      </c>
      <c r="O25" s="79">
        <f t="shared" si="5"/>
        <v>0</v>
      </c>
      <c r="P25" s="90">
        <f t="shared" si="6"/>
        <v>0</v>
      </c>
      <c r="Q25" s="130">
        <f>(N25)-('22'!$K$14)</f>
        <v>0</v>
      </c>
      <c r="R25" s="131">
        <f>(O25)-('22'!$L$14)</f>
        <v>0</v>
      </c>
    </row>
    <row r="26" spans="1:18" ht="15" thickBot="1" x14ac:dyDescent="0.35">
      <c r="A26" s="75">
        <v>45222</v>
      </c>
      <c r="B26" s="77">
        <f>SUMIF('23'!$M$3:$M$13,"OKİCEY",'23'!$K$3:$K$13)</f>
        <v>0</v>
      </c>
      <c r="C26" s="76">
        <f>SUMIF('23'!$M$3:$M$13,"OKİCEY",'23'!$L$3:$L$13)</f>
        <v>0</v>
      </c>
      <c r="D26" s="78">
        <f t="shared" si="0"/>
        <v>760000</v>
      </c>
      <c r="E26" s="77">
        <f>SUMIF('23'!$M$3:$M$13,"MARDİNLİ47",'23'!$K$3:$K$13)</f>
        <v>0</v>
      </c>
      <c r="F26" s="76">
        <f>SUMIF('23'!$M$3:$M$13,"MARDİNLİ47",'23'!$L$3:$L$13)</f>
        <v>0</v>
      </c>
      <c r="G26" s="78">
        <f t="shared" si="1"/>
        <v>0</v>
      </c>
      <c r="H26" s="77">
        <f>SUMIF('23'!$M$3:$M$13,"KEMALGEZER",'23'!$K$3:$K$13)</f>
        <v>0</v>
      </c>
      <c r="I26" s="76">
        <f>SUMIF('23'!$M$3:$M$13,"KEMALGEZER",'23'!$L$3:$L$13)</f>
        <v>0</v>
      </c>
      <c r="J26" s="78">
        <f t="shared" si="2"/>
        <v>11000</v>
      </c>
      <c r="K26" s="77">
        <f>SUMIF('23'!$M$3:$M$13,"MUTOK35",'23'!$K$3:$K$13)</f>
        <v>0</v>
      </c>
      <c r="L26" s="76">
        <f>SUMIF('23'!$M$3:$M$13,"MUTOK35",'23'!$L$3:$L$13)</f>
        <v>0</v>
      </c>
      <c r="M26" s="78">
        <f t="shared" si="3"/>
        <v>5000</v>
      </c>
      <c r="N26" s="80">
        <f t="shared" si="4"/>
        <v>0</v>
      </c>
      <c r="O26" s="79">
        <f t="shared" si="5"/>
        <v>0</v>
      </c>
      <c r="P26" s="81">
        <f t="shared" si="6"/>
        <v>0</v>
      </c>
      <c r="Q26" s="128">
        <f>(N26)-('23'!$K$14)</f>
        <v>0</v>
      </c>
      <c r="R26" s="129">
        <f>(O26)-('23'!$L$14)</f>
        <v>0</v>
      </c>
    </row>
    <row r="27" spans="1:18" ht="15" thickBot="1" x14ac:dyDescent="0.35">
      <c r="A27" s="89">
        <v>45223</v>
      </c>
      <c r="B27" s="77">
        <f>SUMIF('24'!$M$3:$M$13,"OKİCEY",'24'!$K$3:$K$13)</f>
        <v>0</v>
      </c>
      <c r="C27" s="76">
        <f>SUMIF('24'!$M$3:$M$13,"OKİCEY",'24'!$L$3:$L$13)</f>
        <v>0</v>
      </c>
      <c r="D27" s="78">
        <f t="shared" si="0"/>
        <v>760000</v>
      </c>
      <c r="E27" s="77">
        <f>SUMIF('24'!$M$3:$M$13,"MARDİNLİ47",'24'!$K$3:$K$13)</f>
        <v>0</v>
      </c>
      <c r="F27" s="76">
        <f>SUMIF('24'!$M$3:$M$13,"MARDİNLİ47",'24'!$L$3:$L$13)</f>
        <v>0</v>
      </c>
      <c r="G27" s="78">
        <f t="shared" si="1"/>
        <v>0</v>
      </c>
      <c r="H27" s="77">
        <f>SUMIF('24'!$M$3:$M$13,"KEMALGEZER",'24'!$K$3:$K$13)</f>
        <v>0</v>
      </c>
      <c r="I27" s="76">
        <f>SUMIF('24'!$M$3:$M$13,"KEMALGEZER",'24'!$L$3:$L$13)</f>
        <v>0</v>
      </c>
      <c r="J27" s="78">
        <f t="shared" si="2"/>
        <v>11000</v>
      </c>
      <c r="K27" s="77">
        <f>SUMIF('24'!$M$3:$M$13,"MUTOK35",'24'!$K$3:$K$13)</f>
        <v>0</v>
      </c>
      <c r="L27" s="76">
        <f>SUMIF('24'!$M$3:$M$13,"MUTOK35",'24'!$L$3:$L$13)</f>
        <v>0</v>
      </c>
      <c r="M27" s="78">
        <f t="shared" si="3"/>
        <v>5000</v>
      </c>
      <c r="N27" s="80">
        <f t="shared" si="4"/>
        <v>0</v>
      </c>
      <c r="O27" s="79">
        <f t="shared" si="5"/>
        <v>0</v>
      </c>
      <c r="P27" s="90">
        <f t="shared" si="6"/>
        <v>0</v>
      </c>
      <c r="Q27" s="130">
        <f>(N27)-('24'!$K$14)</f>
        <v>0</v>
      </c>
      <c r="R27" s="131">
        <f>(O27)-('24'!$L$14)</f>
        <v>0</v>
      </c>
    </row>
    <row r="28" spans="1:18" ht="15" thickBot="1" x14ac:dyDescent="0.35">
      <c r="A28" s="75">
        <v>45224</v>
      </c>
      <c r="B28" s="77">
        <f>SUMIF('25'!$M$3:$M$13,"OKİCEY",'25'!$K$3:$K$13)</f>
        <v>0</v>
      </c>
      <c r="C28" s="76">
        <f>SUMIF('25'!$M$3:$M$13,"OKİCEY",'25'!$L$3:$L$13)</f>
        <v>0</v>
      </c>
      <c r="D28" s="78">
        <f t="shared" si="0"/>
        <v>760000</v>
      </c>
      <c r="E28" s="77">
        <f>SUMIF('25'!$M$3:$M$13,"MARDİNLİ47",'25'!$K$3:$K$13)</f>
        <v>0</v>
      </c>
      <c r="F28" s="76">
        <f>SUMIF('25'!$M$3:$M$13,"MARDİNLİ47",'25'!$L$3:$L$13)</f>
        <v>0</v>
      </c>
      <c r="G28" s="78">
        <f t="shared" si="1"/>
        <v>0</v>
      </c>
      <c r="H28" s="77">
        <f>SUMIF('25'!$M$3:$M$13,"KEMALGEZER",'25'!$K$3:$K$13)</f>
        <v>0</v>
      </c>
      <c r="I28" s="76">
        <f>SUMIF('25'!$M$3:$M$13,"KEMALGEZER",'25'!$L$3:$L$13)</f>
        <v>0</v>
      </c>
      <c r="J28" s="78">
        <f t="shared" si="2"/>
        <v>11000</v>
      </c>
      <c r="K28" s="77">
        <f>SUMIF('25'!$M$3:$M$13,"MUTOK35",'25'!$K$3:$K$13)</f>
        <v>0</v>
      </c>
      <c r="L28" s="76">
        <f>SUMIF('25'!$M$3:$M$13,"MUTOK35",'25'!$L$3:$L$13)</f>
        <v>0</v>
      </c>
      <c r="M28" s="78">
        <f t="shared" si="3"/>
        <v>5000</v>
      </c>
      <c r="N28" s="80">
        <f t="shared" si="4"/>
        <v>0</v>
      </c>
      <c r="O28" s="79">
        <f t="shared" si="5"/>
        <v>0</v>
      </c>
      <c r="P28" s="81">
        <f t="shared" si="6"/>
        <v>0</v>
      </c>
      <c r="Q28" s="128">
        <f>(N28)-('25'!$K$14)</f>
        <v>0</v>
      </c>
      <c r="R28" s="129">
        <f>(O28)-('25'!$L$14)</f>
        <v>0</v>
      </c>
    </row>
    <row r="29" spans="1:18" ht="15" thickBot="1" x14ac:dyDescent="0.35">
      <c r="A29" s="89">
        <v>45225</v>
      </c>
      <c r="B29" s="77">
        <f>SUMIF('26'!$M$3:$M$13,"OKİCEY",'26'!$K$3:$K$13)</f>
        <v>0</v>
      </c>
      <c r="C29" s="76">
        <f>SUMIF('26'!$M$3:$M$13,"OKİCEY",'26'!$L$3:$L$13)</f>
        <v>0</v>
      </c>
      <c r="D29" s="78">
        <f t="shared" si="0"/>
        <v>760000</v>
      </c>
      <c r="E29" s="77">
        <f>SUMIF('26'!$M$3:$M$13,"MARDİNLİ47",'26'!$K$3:$K$13)</f>
        <v>0</v>
      </c>
      <c r="F29" s="76">
        <f>SUMIF('26'!$M$3:$M$13,"MARDİNLİ47",'26'!$L$3:$L$13)</f>
        <v>0</v>
      </c>
      <c r="G29" s="78">
        <f t="shared" si="1"/>
        <v>0</v>
      </c>
      <c r="H29" s="77">
        <f>SUMIF('26'!$M$3:$M$13,"KEMALGEZER",'26'!$K$3:$K$13)</f>
        <v>0</v>
      </c>
      <c r="I29" s="76">
        <f>SUMIF('26'!$M$3:$M$13,"KEMALGEZER",'26'!$L$3:$L$13)</f>
        <v>0</v>
      </c>
      <c r="J29" s="78">
        <f t="shared" si="2"/>
        <v>11000</v>
      </c>
      <c r="K29" s="77">
        <f>SUMIF('26'!$M$3:$M$13,"MUTOK35",'26'!$K$3:$K$13)</f>
        <v>0</v>
      </c>
      <c r="L29" s="76">
        <f>SUMIF('26'!$M$3:$M$13,"MUTOK35",'26'!$L$3:$L$13)</f>
        <v>0</v>
      </c>
      <c r="M29" s="78">
        <f t="shared" si="3"/>
        <v>5000</v>
      </c>
      <c r="N29" s="80">
        <f t="shared" si="4"/>
        <v>0</v>
      </c>
      <c r="O29" s="79">
        <f t="shared" si="5"/>
        <v>0</v>
      </c>
      <c r="P29" s="90">
        <f t="shared" si="6"/>
        <v>0</v>
      </c>
      <c r="Q29" s="130">
        <f>(N29)-('26'!$K$14)</f>
        <v>0</v>
      </c>
      <c r="R29" s="131">
        <f>(O29)-('26'!$L$14)</f>
        <v>0</v>
      </c>
    </row>
    <row r="30" spans="1:18" ht="15" thickBot="1" x14ac:dyDescent="0.35">
      <c r="A30" s="75">
        <v>45226</v>
      </c>
      <c r="B30" s="77">
        <f>SUMIF('27'!$M$3:$M$13,"OKİCEY",'27'!$K$3:$K$13)</f>
        <v>0</v>
      </c>
      <c r="C30" s="76">
        <f>SUMIF('27'!$M$3:$M$13,"OKİCEY",'27'!$L$3:$L$13)</f>
        <v>0</v>
      </c>
      <c r="D30" s="78">
        <f t="shared" si="0"/>
        <v>760000</v>
      </c>
      <c r="E30" s="77">
        <f>SUMIF('27'!$M$3:$M$13,"MARDİNLİ47",'27'!$K$3:$K$13)</f>
        <v>0</v>
      </c>
      <c r="F30" s="76">
        <f>SUMIF('27'!$M$3:$M$13,"MARDİNLİ47",'27'!$L$3:$L$13)</f>
        <v>0</v>
      </c>
      <c r="G30" s="78">
        <f t="shared" si="1"/>
        <v>0</v>
      </c>
      <c r="H30" s="77">
        <f>SUMIF('27'!$M$3:$M$13,"KEMALGEZER",'27'!$K$3:$K$13)</f>
        <v>0</v>
      </c>
      <c r="I30" s="76">
        <f>SUMIF('27'!$M$3:$M$13,"KEMALGEZER",'27'!$L$3:$L$13)</f>
        <v>0</v>
      </c>
      <c r="J30" s="78">
        <f t="shared" si="2"/>
        <v>11000</v>
      </c>
      <c r="K30" s="77">
        <f>SUMIF('27'!$M$3:$M$13,"MUTOK35",'27'!$K$3:$K$13)</f>
        <v>0</v>
      </c>
      <c r="L30" s="76">
        <f>SUMIF('27'!$M$3:$M$13,"MUTOK35",'27'!$L$3:$L$13)</f>
        <v>0</v>
      </c>
      <c r="M30" s="78">
        <f t="shared" si="3"/>
        <v>5000</v>
      </c>
      <c r="N30" s="80">
        <f t="shared" si="4"/>
        <v>0</v>
      </c>
      <c r="O30" s="79">
        <f t="shared" si="5"/>
        <v>0</v>
      </c>
      <c r="P30" s="81">
        <f t="shared" si="6"/>
        <v>0</v>
      </c>
      <c r="Q30" s="128">
        <f>(N30)-('27'!$K$14)</f>
        <v>0</v>
      </c>
      <c r="R30" s="129">
        <f>(O30)-('27'!$L$14)</f>
        <v>0</v>
      </c>
    </row>
    <row r="31" spans="1:18" ht="15" thickBot="1" x14ac:dyDescent="0.35">
      <c r="A31" s="89">
        <v>45227</v>
      </c>
      <c r="B31" s="77">
        <f>SUMIF('28'!$M$3:$M$13,"OKİCEY",'28'!$K$3:$K$13)</f>
        <v>0</v>
      </c>
      <c r="C31" s="76">
        <f>SUMIF('28'!$M$3:$M$13,"OKİCEY",'28'!$L$3:$L$13)</f>
        <v>0</v>
      </c>
      <c r="D31" s="78">
        <f t="shared" si="0"/>
        <v>760000</v>
      </c>
      <c r="E31" s="77">
        <f>SUMIF('28'!$M$3:$M$13,"MARDİNLİ47",'28'!$K$3:$K$13)</f>
        <v>0</v>
      </c>
      <c r="F31" s="76">
        <f>SUMIF('28'!$M$3:$M$13,"MARDİNLİ47",'28'!$L$3:$L$13)</f>
        <v>0</v>
      </c>
      <c r="G31" s="78">
        <f t="shared" si="1"/>
        <v>0</v>
      </c>
      <c r="H31" s="77">
        <f>SUMIF('28'!$M$3:$M$13,"KEMALGEZER",'28'!$K$3:$K$13)</f>
        <v>0</v>
      </c>
      <c r="I31" s="76">
        <f>SUMIF('28'!$M$3:$M$13,"KEMALGEZER",'28'!$L$3:$L$13)</f>
        <v>0</v>
      </c>
      <c r="J31" s="78">
        <f t="shared" si="2"/>
        <v>11000</v>
      </c>
      <c r="K31" s="77">
        <f>SUMIF('28'!$M$3:$M$13,"MUTOK35",'28'!$K$3:$K$13)</f>
        <v>0</v>
      </c>
      <c r="L31" s="76">
        <f>SUMIF('28'!$M$3:$M$13,"MUTOK35",'28'!$L$3:$L$13)</f>
        <v>0</v>
      </c>
      <c r="M31" s="78">
        <f t="shared" si="3"/>
        <v>5000</v>
      </c>
      <c r="N31" s="80">
        <f t="shared" si="4"/>
        <v>0</v>
      </c>
      <c r="O31" s="79">
        <f t="shared" si="5"/>
        <v>0</v>
      </c>
      <c r="P31" s="90">
        <f t="shared" si="6"/>
        <v>0</v>
      </c>
      <c r="Q31" s="130">
        <f>(N31)-('28'!$K$14)</f>
        <v>0</v>
      </c>
      <c r="R31" s="131">
        <f>(O31)-('28'!$L$14)</f>
        <v>0</v>
      </c>
    </row>
    <row r="32" spans="1:18" ht="15" thickBot="1" x14ac:dyDescent="0.35">
      <c r="A32" s="75">
        <v>45228</v>
      </c>
      <c r="B32" s="77">
        <f>SUMIF('29'!$M$3:$M$13,"OKİCEY",'29'!$K$3:$K$13)</f>
        <v>0</v>
      </c>
      <c r="C32" s="76">
        <f>SUMIF('29'!$M$3:$M$13,"OKİCEY",'29'!$L$3:$L$13)</f>
        <v>0</v>
      </c>
      <c r="D32" s="78">
        <f t="shared" si="0"/>
        <v>760000</v>
      </c>
      <c r="E32" s="77">
        <f>SUMIF('29'!$M$3:$M$13,"MARDİNLİ47",'29'!$K$3:$K$13)</f>
        <v>0</v>
      </c>
      <c r="F32" s="76">
        <f>SUMIF('29'!$M$3:$M$13,"MARDİNLİ47",'29'!$L$3:$L$13)</f>
        <v>0</v>
      </c>
      <c r="G32" s="78">
        <f t="shared" si="1"/>
        <v>0</v>
      </c>
      <c r="H32" s="77">
        <f>SUMIF('29'!$M$3:$M$13,"KEMALGEZER",'29'!$K$3:$K$13)</f>
        <v>0</v>
      </c>
      <c r="I32" s="76">
        <f>SUMIF('29'!$M$3:$M$13,"KEMALGEZER",'29'!$L$3:$L$13)</f>
        <v>0</v>
      </c>
      <c r="J32" s="78">
        <f t="shared" si="2"/>
        <v>11000</v>
      </c>
      <c r="K32" s="77">
        <f>SUMIF('29'!$M$3:$M$13,"MUTOK35",'29'!$K$3:$K$13)</f>
        <v>0</v>
      </c>
      <c r="L32" s="76">
        <f>SUMIF('29'!$M$3:$M$13,"MUTOK35",'29'!$L$3:$L$13)</f>
        <v>0</v>
      </c>
      <c r="M32" s="78">
        <f t="shared" si="3"/>
        <v>5000</v>
      </c>
      <c r="N32" s="80">
        <f t="shared" si="4"/>
        <v>0</v>
      </c>
      <c r="O32" s="79">
        <f t="shared" si="5"/>
        <v>0</v>
      </c>
      <c r="P32" s="81">
        <f t="shared" si="6"/>
        <v>0</v>
      </c>
      <c r="Q32" s="128">
        <f>(N32)-('29'!$K$14)</f>
        <v>0</v>
      </c>
      <c r="R32" s="129">
        <f>(O32)-('29'!$L$14)</f>
        <v>0</v>
      </c>
    </row>
    <row r="33" spans="1:18" ht="15" thickBot="1" x14ac:dyDescent="0.35">
      <c r="A33" s="75">
        <v>45229</v>
      </c>
      <c r="B33" s="77">
        <f>SUMIF('30'!$M$3:$M$13,"OKİCEY",'30'!$K$3:$K$13)</f>
        <v>0</v>
      </c>
      <c r="C33" s="76">
        <f>SUMIF('30'!$M$3:$M$13,"OKİCEY",'30'!$L$3:$L$13)</f>
        <v>0</v>
      </c>
      <c r="D33" s="78">
        <f t="shared" si="0"/>
        <v>760000</v>
      </c>
      <c r="E33" s="77">
        <f>SUMIF('30'!$M$3:$M$13,"MARDİNLİ47",'30'!$K$3:$K$13)</f>
        <v>0</v>
      </c>
      <c r="F33" s="76">
        <f>SUMIF('30'!$M$3:$M$13,"MARDİNLİ47",'30'!$L$3:$L$13)</f>
        <v>0</v>
      </c>
      <c r="G33" s="78">
        <f t="shared" si="1"/>
        <v>0</v>
      </c>
      <c r="H33" s="77">
        <f>SUMIF('30'!$M$3:$M$13,"KEMALGEZER",'30'!$K$3:$K$13)</f>
        <v>0</v>
      </c>
      <c r="I33" s="76">
        <f>SUMIF('30'!$M$3:$M$13,"KEMALGEZER",'30'!$L$3:$L$13)</f>
        <v>0</v>
      </c>
      <c r="J33" s="78">
        <f t="shared" si="2"/>
        <v>11000</v>
      </c>
      <c r="K33" s="77">
        <f>SUMIF('30'!$M$3:$M$13,"MUTOK35",'30'!$K$3:$K$13)</f>
        <v>0</v>
      </c>
      <c r="L33" s="76">
        <f>SUMIF('30'!$M$3:$M$13,"MUTOK35",'30'!$L$3:$L$13)</f>
        <v>0</v>
      </c>
      <c r="M33" s="78">
        <f t="shared" si="3"/>
        <v>5000</v>
      </c>
      <c r="N33" s="80">
        <f t="shared" si="4"/>
        <v>0</v>
      </c>
      <c r="O33" s="79">
        <f t="shared" si="5"/>
        <v>0</v>
      </c>
      <c r="P33" s="81">
        <f t="shared" si="6"/>
        <v>0</v>
      </c>
      <c r="Q33" s="130">
        <f>(N33)-('30'!$K$14)</f>
        <v>0</v>
      </c>
      <c r="R33" s="131">
        <f>(O33)-('30'!$L$14)</f>
        <v>0</v>
      </c>
    </row>
    <row r="34" spans="1:18" ht="15" thickBot="1" x14ac:dyDescent="0.35">
      <c r="A34" s="89">
        <v>45230</v>
      </c>
      <c r="B34" s="77">
        <f>SUMIF('31'!$M$3:$M$13,"OKİCEY",'31'!$K$3:$K$13)</f>
        <v>0</v>
      </c>
      <c r="C34" s="76">
        <f>SUMIF('31'!$M$3:$M$13,"OKİCEY",'31'!$L$3:$L$13)</f>
        <v>0</v>
      </c>
      <c r="D34" s="78">
        <f t="shared" si="0"/>
        <v>760000</v>
      </c>
      <c r="E34" s="77">
        <f>SUMIF('31'!$M$3:$M$13,"MARDİNLİ47",'31'!$K$3:$K$13)</f>
        <v>0</v>
      </c>
      <c r="F34" s="76">
        <f>SUMIF('31'!$M$3:$M$13,"MARDİNLİ47",'31'!$L$3:$L$13)</f>
        <v>0</v>
      </c>
      <c r="G34" s="78">
        <f t="shared" si="1"/>
        <v>0</v>
      </c>
      <c r="H34" s="77">
        <f>SUMIF('31'!$M$3:$M$13,"KEMALGEZER",'31'!$K$3:$K$13)</f>
        <v>0</v>
      </c>
      <c r="I34" s="76">
        <f>SUMIF('31'!$M$3:$M$13,"KEMALGEZER",'31'!$L$3:$L$13)</f>
        <v>0</v>
      </c>
      <c r="J34" s="78">
        <f t="shared" si="2"/>
        <v>11000</v>
      </c>
      <c r="K34" s="77">
        <f>SUMIF('31'!$M$3:$M$13,"MUTOK35",'31'!$K$3:$K$13)</f>
        <v>0</v>
      </c>
      <c r="L34" s="76">
        <f>SUMIF('31'!$M$3:$M$13,"MUTOK35",'31'!$L$3:$L$13)</f>
        <v>0</v>
      </c>
      <c r="M34" s="78">
        <f t="shared" si="3"/>
        <v>5000</v>
      </c>
      <c r="N34" s="80">
        <f t="shared" si="4"/>
        <v>0</v>
      </c>
      <c r="O34" s="79">
        <f t="shared" si="5"/>
        <v>0</v>
      </c>
      <c r="P34" s="88">
        <f t="shared" si="6"/>
        <v>0</v>
      </c>
      <c r="Q34" s="128">
        <f>(N34)-('31'!$K$14)</f>
        <v>0</v>
      </c>
      <c r="R34" s="129">
        <f>(O34)-('31'!$L$14)</f>
        <v>0</v>
      </c>
    </row>
    <row r="35" spans="1:18" ht="15" thickBot="1" x14ac:dyDescent="0.35">
      <c r="A35" s="75" t="s">
        <v>15</v>
      </c>
      <c r="B35" s="76">
        <f>SUM(B3:B34)</f>
        <v>760000</v>
      </c>
      <c r="C35" s="77">
        <f>SUM(C3:C34)</f>
        <v>0</v>
      </c>
      <c r="D35" s="78"/>
      <c r="E35" s="76">
        <f>SUM(E3:E34)</f>
        <v>0</v>
      </c>
      <c r="F35" s="77">
        <f>SUM(F3:F34)</f>
        <v>0</v>
      </c>
      <c r="G35" s="78"/>
      <c r="H35" s="76">
        <f>SUM(H3:H34)</f>
        <v>11000</v>
      </c>
      <c r="I35" s="77">
        <f>SUM(I3:I34)</f>
        <v>0</v>
      </c>
      <c r="J35" s="110"/>
      <c r="K35" s="110">
        <f>SUM(K3:K34)</f>
        <v>5000</v>
      </c>
      <c r="L35" s="110">
        <f>SUM(L3:L34)</f>
        <v>0</v>
      </c>
      <c r="M35" s="78"/>
      <c r="N35" s="79">
        <f>SUM(N4:N34)</f>
        <v>44000</v>
      </c>
      <c r="O35" s="80">
        <f t="shared" ref="O35" si="7">SUM(O4:O34)</f>
        <v>0</v>
      </c>
      <c r="P35" s="81">
        <f t="shared" ref="P35" si="8">SUM(P4:P34)</f>
        <v>44000</v>
      </c>
      <c r="Q35" s="126"/>
      <c r="R35" s="127"/>
    </row>
  </sheetData>
  <sheetProtection algorithmName="SHA-512" hashValue="dhSMG/p3iSCkOzx7mnbkE439r9lwuGPuZicCYi7Zz1TJak0hd+k1L5mHuIfI1A+snrdJ5cDOkZRz83NSk4lQpw==" saltValue="G2QLYrCnnH9Dj+E7U7vy1A==" spinCount="100000" sheet="1" objects="1" scenarios="1"/>
  <mergeCells count="6">
    <mergeCell ref="B1:D1"/>
    <mergeCell ref="E1:G1"/>
    <mergeCell ref="H1:J1"/>
    <mergeCell ref="A1:A2"/>
    <mergeCell ref="N1:P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A0D8-001E-47F1-B4CA-2C160E1DB71D}">
  <dimension ref="A1:AH26"/>
  <sheetViews>
    <sheetView tabSelected="1" workbookViewId="0">
      <selection activeCell="H22" sqref="H2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45200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23443.870000000003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>
        <v>13769.87</v>
      </c>
      <c r="C2" s="50">
        <v>11996</v>
      </c>
      <c r="D2" s="51">
        <f>((B2*8)/100)+((C2*1)/100)</f>
        <v>1221.5496000000001</v>
      </c>
      <c r="E2" s="71">
        <f>(B2-C2)-D2</f>
        <v>552.32040000000075</v>
      </c>
      <c r="F2" s="1"/>
      <c r="G2" s="193" t="s">
        <v>22</v>
      </c>
      <c r="H2" s="194"/>
      <c r="I2" s="62">
        <f>C25</f>
        <v>12496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>
        <v>3120</v>
      </c>
      <c r="C3" s="53"/>
      <c r="D3" s="51">
        <f>((B3*8)/100)+((C3*0)/100)</f>
        <v>249.6</v>
      </c>
      <c r="E3" s="72">
        <f>(B3-C3)-D3</f>
        <v>2870.4</v>
      </c>
      <c r="F3" s="1"/>
      <c r="G3" s="195" t="s">
        <v>44</v>
      </c>
      <c r="H3" s="196"/>
      <c r="I3" s="63">
        <f>D25</f>
        <v>2047.4295999999999</v>
      </c>
      <c r="J3" s="9"/>
      <c r="K3" s="32">
        <v>40000</v>
      </c>
      <c r="L3" s="33"/>
      <c r="M3" s="91" t="s">
        <v>28</v>
      </c>
      <c r="N3" s="60">
        <f t="shared" ref="N3:N13" si="0">K3-L3</f>
        <v>40000</v>
      </c>
      <c r="O3" s="177" t="s">
        <v>53</v>
      </c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>
        <v>500</v>
      </c>
      <c r="C4" s="53">
        <v>500</v>
      </c>
      <c r="D4" s="51">
        <f>((B4*9)/100)+((C4*1)/100)</f>
        <v>50</v>
      </c>
      <c r="E4" s="72">
        <f>(B4-C4)-D4</f>
        <v>-50</v>
      </c>
      <c r="F4" s="1"/>
      <c r="G4" s="197" t="s">
        <v>45</v>
      </c>
      <c r="H4" s="198"/>
      <c r="I4" s="64">
        <f>E25</f>
        <v>8900.4404000000013</v>
      </c>
      <c r="J4" s="9"/>
      <c r="K4" s="34">
        <v>3000</v>
      </c>
      <c r="L4" s="35"/>
      <c r="M4" s="92" t="s">
        <v>64</v>
      </c>
      <c r="N4" s="60">
        <f t="shared" si="0"/>
        <v>3000</v>
      </c>
      <c r="O4" s="167" t="s">
        <v>53</v>
      </c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10947.870000000003</v>
      </c>
      <c r="J5" s="9"/>
      <c r="K5" s="34">
        <v>1000</v>
      </c>
      <c r="L5" s="35"/>
      <c r="M5" s="92" t="s">
        <v>35</v>
      </c>
      <c r="N5" s="60">
        <f t="shared" si="0"/>
        <v>1000</v>
      </c>
      <c r="O5" s="167" t="s">
        <v>53</v>
      </c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44000</v>
      </c>
      <c r="AG5" s="97">
        <f ca="1">SUMIF($O$3:$P$13,"TONY KASA",$L$3:$L$13)</f>
        <v>0</v>
      </c>
      <c r="AH5" s="104">
        <f ca="1">AF5-AG5</f>
        <v>44000</v>
      </c>
    </row>
    <row r="6" spans="1:34" ht="17.399999999999999" thickBot="1" x14ac:dyDescent="0.35">
      <c r="A6" s="22" t="s">
        <v>4</v>
      </c>
      <c r="B6" s="52">
        <v>429</v>
      </c>
      <c r="C6" s="53"/>
      <c r="D6" s="54">
        <f>((B6*7)/100)+((C6*0)/100)</f>
        <v>30.03</v>
      </c>
      <c r="E6" s="72">
        <f>(B6-C6)-D6</f>
        <v>398.97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44000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44000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>
        <v>4625</v>
      </c>
      <c r="C10" s="53"/>
      <c r="D10" s="54">
        <f>((B10*9)/100)+((C10*0)/100)</f>
        <v>416.25</v>
      </c>
      <c r="E10" s="72">
        <f>(B10-C10)-D10</f>
        <v>4208.75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>
        <v>1000</v>
      </c>
      <c r="C11" s="53"/>
      <c r="D11" s="54">
        <f>((B11*8)/100)+((C11*0)/100)</f>
        <v>80</v>
      </c>
      <c r="E11" s="72">
        <f>(B11-C11)-D11</f>
        <v>920</v>
      </c>
      <c r="F11" s="1"/>
      <c r="G11" s="203" t="s">
        <v>23</v>
      </c>
      <c r="H11" s="204"/>
      <c r="I11" s="68">
        <f>I1+I7</f>
        <v>67443.87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12496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44000</v>
      </c>
      <c r="AG13" s="99">
        <f ca="1">SUM(AG5:AG12)</f>
        <v>0</v>
      </c>
      <c r="AH13" s="105">
        <f ca="1">SUM(AH5:AH12)</f>
        <v>44000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52900.440399999992</v>
      </c>
      <c r="J14" s="11"/>
      <c r="K14" s="38">
        <f>SUM(K3:K13)</f>
        <v>44000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23443.870000000003</v>
      </c>
      <c r="C25" s="58">
        <f>SUM(C2:C24)</f>
        <v>12496</v>
      </c>
      <c r="D25" s="59">
        <f>SUM(D2:D24)</f>
        <v>2047.4295999999999</v>
      </c>
      <c r="E25" s="73">
        <f>SUM(E2:E24)</f>
        <v>8900.4404000000013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O23:P23"/>
    <mergeCell ref="O24:P24"/>
    <mergeCell ref="O25:P25"/>
    <mergeCell ref="K18:M18"/>
    <mergeCell ref="K19:M19"/>
    <mergeCell ref="K20:M20"/>
    <mergeCell ref="K21:M21"/>
    <mergeCell ref="K22:M22"/>
    <mergeCell ref="K23:M23"/>
    <mergeCell ref="K24:M24"/>
    <mergeCell ref="K25:M25"/>
    <mergeCell ref="O18:P18"/>
    <mergeCell ref="O19:P19"/>
    <mergeCell ref="O20:P20"/>
    <mergeCell ref="O21:P21"/>
    <mergeCell ref="O22:P22"/>
    <mergeCell ref="O14:P14"/>
    <mergeCell ref="K17:M17"/>
    <mergeCell ref="K15:P15"/>
    <mergeCell ref="K16:M16"/>
    <mergeCell ref="O16:P16"/>
    <mergeCell ref="O17:P17"/>
    <mergeCell ref="G17:I17"/>
    <mergeCell ref="G9:H9"/>
    <mergeCell ref="G14:H15"/>
    <mergeCell ref="I14:I15"/>
    <mergeCell ref="G1:H1"/>
    <mergeCell ref="G2:H2"/>
    <mergeCell ref="G3:H3"/>
    <mergeCell ref="G4:H4"/>
    <mergeCell ref="G5:H5"/>
    <mergeCell ref="G8:H8"/>
    <mergeCell ref="G11:H11"/>
    <mergeCell ref="G12:H12"/>
    <mergeCell ref="G13:H13"/>
    <mergeCell ref="K1:P1"/>
    <mergeCell ref="O2:P2"/>
    <mergeCell ref="O3:P3"/>
    <mergeCell ref="G6:H6"/>
    <mergeCell ref="O4:P4"/>
    <mergeCell ref="O5:P5"/>
    <mergeCell ref="O6:P6"/>
    <mergeCell ref="O12:P12"/>
    <mergeCell ref="O13:P13"/>
    <mergeCell ref="U3:X3"/>
    <mergeCell ref="Z3:AC3"/>
    <mergeCell ref="AE3:AH3"/>
    <mergeCell ref="O7:P7"/>
    <mergeCell ref="O8:P8"/>
    <mergeCell ref="O9:P9"/>
    <mergeCell ref="O10:P10"/>
    <mergeCell ref="O11:P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DE95AF-91B2-4210-8EEE-A2E8C620E230}">
          <x14:formula1>
            <xm:f>Veriler!$E$4:$E$11</xm:f>
          </x14:formula1>
          <xm:sqref>I19:I25 O3:P13 O17:P24</xm:sqref>
        </x14:dataValidation>
        <x14:dataValidation type="list" allowBlank="1" showInputMessage="1" showErrorMessage="1" xr:uid="{42D70BE1-AD36-4C6E-A3E2-BA2C6260FDFC}">
          <x14:formula1>
            <xm:f>Veriler!$B$4:$B$7</xm:f>
          </x14:formula1>
          <xm:sqref>M3:M13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8A02-4A5B-4405-AEA9-30C83A7E0D92}">
  <dimension ref="A1:AH26"/>
  <sheetViews>
    <sheetView workbookViewId="0">
      <selection activeCell="K4" sqref="K4:M5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45201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243821-52A1-4074-9DCB-AAFC3FD70C38}">
          <x14:formula1>
            <xm:f>Veriler!$E$4:$E$11</xm:f>
          </x14:formula1>
          <xm:sqref>O3:P13 O17:P24 I19:I25</xm:sqref>
        </x14:dataValidation>
        <x14:dataValidation type="list" allowBlank="1" showInputMessage="1" showErrorMessage="1" xr:uid="{4CD4DB41-1436-4322-BEE9-CCA23EB2B9FB}">
          <x14:formula1>
            <xm:f>Veriler!$B$4:$B$7</xm:f>
          </x14:formula1>
          <xm:sqref>M3:M13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C78F-0717-4A3E-81AC-63CEA7359BA0}">
  <dimension ref="A1:AH26"/>
  <sheetViews>
    <sheetView workbookViewId="0">
      <selection activeCell="B20" sqref="B20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45202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329464-D393-4573-B06F-4A9B17AA2A83}">
          <x14:formula1>
            <xm:f>Veriler!$B$4:$B$7</xm:f>
          </x14:formula1>
          <xm:sqref>M3:M13</xm:sqref>
        </x14:dataValidation>
        <x14:dataValidation type="list" allowBlank="1" showInputMessage="1" showErrorMessage="1" xr:uid="{AACAD594-0004-4538-8EC1-A59C64C5A88D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A6A7-73BC-4587-B65A-7E9FA592C2AD}">
  <dimension ref="A1:AH26"/>
  <sheetViews>
    <sheetView workbookViewId="0">
      <selection activeCell="K19" sqref="K19:M19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45203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CDE1A0-FB74-4A00-86FD-E33775487BB5}">
          <x14:formula1>
            <xm:f>Veriler!$E$4:$E$11</xm:f>
          </x14:formula1>
          <xm:sqref>O3:P13 O17:P24 I19:I25</xm:sqref>
        </x14:dataValidation>
        <x14:dataValidation type="list" allowBlank="1" showInputMessage="1" showErrorMessage="1" xr:uid="{07C82BD6-EAFC-4A3F-A53F-3100C839523E}">
          <x14:formula1>
            <xm:f>Veriler!$B$4:$B$7</xm:f>
          </x14:formula1>
          <xm:sqref>M3:M13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8832-3A6B-4BD8-8B36-21A0D6055129}">
  <dimension ref="A1:AH26"/>
  <sheetViews>
    <sheetView workbookViewId="0">
      <selection activeCell="L4" sqref="L4:M4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.33203125" style="6" bestFit="1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45204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7781B7-7B52-42C1-BDAD-D939D0E10B8A}">
          <x14:formula1>
            <xm:f>Veriler!$B$4:$B$7</xm:f>
          </x14:formula1>
          <xm:sqref>M3:M13</xm:sqref>
        </x14:dataValidation>
        <x14:dataValidation type="list" allowBlank="1" showInputMessage="1" showErrorMessage="1" xr:uid="{ECF7DE11-DA2D-447A-A81D-7DE01268AC88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F6FB-0307-4E1C-B69E-4BE6A1727D89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45205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9BFA53-945E-4722-9225-C86EDD1D15F1}">
          <x14:formula1>
            <xm:f>Veriler!$E$4:$E$11</xm:f>
          </x14:formula1>
          <xm:sqref>O3:P13 O17:P24 I19:I25</xm:sqref>
        </x14:dataValidation>
        <x14:dataValidation type="list" allowBlank="1" showInputMessage="1" showErrorMessage="1" xr:uid="{C6149379-3A4D-4FB9-8EBC-F31937066DF1}">
          <x14:formula1>
            <xm:f>Veriler!$B$4:$B$7</xm:f>
          </x14:formula1>
          <xm:sqref>M3:M13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4B21-18F0-4665-B3D3-5D4A3CCAEA14}">
  <dimension ref="A1:AH26"/>
  <sheetViews>
    <sheetView workbookViewId="0">
      <selection activeCell="D19" sqref="D19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45206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B293403-4689-47A6-8737-8749E573ECF8}">
          <x14:formula1>
            <xm:f>Veriler!$B$4:$B$7</xm:f>
          </x14:formula1>
          <xm:sqref>M3:M13</xm:sqref>
        </x14:dataValidation>
        <x14:dataValidation type="list" allowBlank="1" showInputMessage="1" showErrorMessage="1" xr:uid="{13A46679-9D89-4E4B-9586-AC9399A373EA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26EC-FDEB-4346-B749-DB9B1FA2E226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45207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207507-AEDF-4892-881B-FDA2B9EF29D0}">
          <x14:formula1>
            <xm:f>Veriler!$E$4:$E$11</xm:f>
          </x14:formula1>
          <xm:sqref>O3:P13 O17:P24 I19:I25</xm:sqref>
        </x14:dataValidation>
        <x14:dataValidation type="list" allowBlank="1" showInputMessage="1" showErrorMessage="1" xr:uid="{263A03AC-B232-429C-B22A-AA9E0AD73369}">
          <x14:formula1>
            <xm:f>Veriler!$B$4:$B$7</xm:f>
          </x14:formula1>
          <xm:sqref>M3:M13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6437-7EAB-4F5B-B7BF-41BBE9F6D0CE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45208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6AC8FC-8761-4B3E-93F0-2709D372535E}">
          <x14:formula1>
            <xm:f>Veriler!$B$4:$B$7</xm:f>
          </x14:formula1>
          <xm:sqref>M3:M13</xm:sqref>
        </x14:dataValidation>
        <x14:dataValidation type="list" allowBlank="1" showInputMessage="1" showErrorMessage="1" xr:uid="{41197C3E-A795-4CA7-85BD-14CA8CA9FDD9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D76A-FE97-418F-A623-22948FC5FD7B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45209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940B30-48B9-4E8F-B3EE-D8383767985E}">
          <x14:formula1>
            <xm:f>Veriler!$E$4:$E$11</xm:f>
          </x14:formula1>
          <xm:sqref>O3:P13 O17:P24 I19:I25</xm:sqref>
        </x14:dataValidation>
        <x14:dataValidation type="list" allowBlank="1" showInputMessage="1" showErrorMessage="1" xr:uid="{202186C8-DDC5-4F0D-8C23-A77E5B4D6FFC}">
          <x14:formula1>
            <xm:f>Veriler!$B$4:$B$7</xm:f>
          </x14:formula1>
          <xm:sqref>M3:M13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BA35-7BD2-4E47-A915-FB4CE43FF1D7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45210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3BFA11F-9A60-43BF-8D24-86FB161C4137}">
          <x14:formula1>
            <xm:f>Veriler!$B$4:$B$7</xm:f>
          </x14:formula1>
          <xm:sqref>M3:M13</xm:sqref>
        </x14:dataValidation>
        <x14:dataValidation type="list" allowBlank="1" showInputMessage="1" showErrorMessage="1" xr:uid="{2B42EEDD-240B-4FC3-B8FE-7F208EEFBE5A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9E1E-FAE3-4F90-A70D-63310BFBCE62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45211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1ACE1E-EC60-481E-BC4C-8A70C518C50B}">
          <x14:formula1>
            <xm:f>Veriler!$E$4:$E$11</xm:f>
          </x14:formula1>
          <xm:sqref>O3:P13 O17:P24 I19:I25</xm:sqref>
        </x14:dataValidation>
        <x14:dataValidation type="list" allowBlank="1" showInputMessage="1" showErrorMessage="1" xr:uid="{2338BC9E-7858-481C-8B0A-BE792708F10A}">
          <x14:formula1>
            <xm:f>Veriler!$B$4:$B$7</xm:f>
          </x14:formula1>
          <xm:sqref>M3:M13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1405-C7C1-4511-B8CC-58B57FC0FC26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45212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2A78C2-E6C4-40E3-B051-03124B932D94}">
          <x14:formula1>
            <xm:f>Veriler!$B$4:$B$7</xm:f>
          </x14:formula1>
          <xm:sqref>M3:M13</xm:sqref>
        </x14:dataValidation>
        <x14:dataValidation type="list" allowBlank="1" showInputMessage="1" showErrorMessage="1" xr:uid="{F15A1FC1-D8B6-44CB-89F9-5F1E6D832FC6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7E97-25A1-478D-8CC5-0AC852E467AB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45213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4171B4-A96B-46CB-A368-C22062F94538}">
          <x14:formula1>
            <xm:f>Veriler!$E$4:$E$11</xm:f>
          </x14:formula1>
          <xm:sqref>O3:P13 O17:P24 I19:I25</xm:sqref>
        </x14:dataValidation>
        <x14:dataValidation type="list" allowBlank="1" showInputMessage="1" showErrorMessage="1" xr:uid="{CC9C878B-E693-4FBC-A575-8714177AB644}">
          <x14:formula1>
            <xm:f>Veriler!$B$4:$B$7</xm:f>
          </x14:formula1>
          <xm:sqref>M3:M13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DD90-7578-4205-969E-6EAF89CEC8C4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45214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A82F75-6889-4DC5-A85A-BA9CC0A50054}">
          <x14:formula1>
            <xm:f>Veriler!$B$4:$B$7</xm:f>
          </x14:formula1>
          <xm:sqref>M3:M13</xm:sqref>
        </x14:dataValidation>
        <x14:dataValidation type="list" allowBlank="1" showInputMessage="1" showErrorMessage="1" xr:uid="{4FD16082-E4C0-440A-8C03-20319CC71864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8D4E-B0E7-4B3D-B26C-EE8365B391B7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45215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5078EED-631F-4C9D-BC6E-0DB640B13A00}">
          <x14:formula1>
            <xm:f>Veriler!$B$4:$B$7</xm:f>
          </x14:formula1>
          <xm:sqref>M3:M13</xm:sqref>
        </x14:dataValidation>
        <x14:dataValidation type="list" allowBlank="1" showInputMessage="1" showErrorMessage="1" xr:uid="{C06A0842-1CA8-4322-AED7-83B83F9C6138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97B7-E107-4582-AE60-14662E63327C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45216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C16D09-7A5E-4CB4-8E04-C8C781006EA2}">
          <x14:formula1>
            <xm:f>Veriler!$B$4:$B$7</xm:f>
          </x14:formula1>
          <xm:sqref>M3:M13</xm:sqref>
        </x14:dataValidation>
        <x14:dataValidation type="list" allowBlank="1" showInputMessage="1" showErrorMessage="1" xr:uid="{AD0E5EE8-607B-4D8D-9CE9-053CA8614EE0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C323-732A-451C-969D-A64A6B8FCF6F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45217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EBCCBD-CA86-4BA9-9C7D-ACA2B156C785}">
          <x14:formula1>
            <xm:f>Veriler!$B$4:$B$7</xm:f>
          </x14:formula1>
          <xm:sqref>M3:M13</xm:sqref>
        </x14:dataValidation>
        <x14:dataValidation type="list" allowBlank="1" showInputMessage="1" showErrorMessage="1" xr:uid="{E9D39F51-21BE-41DC-8A11-9FCBB3212629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E7B4-4AE2-4B6D-B17F-C640D1C8C9BB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45218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C0EC5E-094F-44F5-AF1F-96A34D15D8BD}">
          <x14:formula1>
            <xm:f>Veriler!$B$4:$B$7</xm:f>
          </x14:formula1>
          <xm:sqref>M3:M13</xm:sqref>
        </x14:dataValidation>
        <x14:dataValidation type="list" allowBlank="1" showInputMessage="1" showErrorMessage="1" xr:uid="{4C542D5B-867C-4147-BA31-45CB33F2BA0D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3087-EFAC-43EA-9FB8-7C15B9C23D7D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45219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FF7AD0-4579-4562-B6DD-91FE2A56E21B}">
          <x14:formula1>
            <xm:f>Veriler!$B$4:$B$7</xm:f>
          </x14:formula1>
          <xm:sqref>M3:M13</xm:sqref>
        </x14:dataValidation>
        <x14:dataValidation type="list" allowBlank="1" showInputMessage="1" showErrorMessage="1" xr:uid="{AC44CD27-B6ED-4265-9DE9-DAB3CD49C8EF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9E93-7AE6-4307-8EB3-B54A89E3225B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45220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B2AAEC-0748-40A4-8630-AEE61A3C8B75}">
          <x14:formula1>
            <xm:f>Veriler!$B$4:$B$7</xm:f>
          </x14:formula1>
          <xm:sqref>M3:M13</xm:sqref>
        </x14:dataValidation>
        <x14:dataValidation type="list" allowBlank="1" showInputMessage="1" showErrorMessage="1" xr:uid="{49693565-B377-4BBC-A739-FD2F2BD9240C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DBB8-F4BC-4EEE-8A46-9CEB05986D12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45221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BF64A2-A792-4481-BDFD-3E6B82FF3888}">
          <x14:formula1>
            <xm:f>Veriler!$B$4:$B$7</xm:f>
          </x14:formula1>
          <xm:sqref>M3:M13</xm:sqref>
        </x14:dataValidation>
        <x14:dataValidation type="list" allowBlank="1" showInputMessage="1" showErrorMessage="1" xr:uid="{0D844BD5-D503-414B-BEBD-B4A939A6FF49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0D3B-83AC-4FC6-9C5B-0C6C67FAFD32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45222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DBA27A-949A-43DF-A65E-33A4907D1EF3}">
          <x14:formula1>
            <xm:f>Veriler!$B$4:$B$7</xm:f>
          </x14:formula1>
          <xm:sqref>M3:M13</xm:sqref>
        </x14:dataValidation>
        <x14:dataValidation type="list" allowBlank="1" showInputMessage="1" showErrorMessage="1" xr:uid="{884884C5-3CF4-4161-8580-6FFDE71504CF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42F4-BA5C-49BF-8ABC-47910B574173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45223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960941-AF65-4A71-B889-980C0453242E}">
          <x14:formula1>
            <xm:f>Veriler!$B$4:$B$7</xm:f>
          </x14:formula1>
          <xm:sqref>M3:M13</xm:sqref>
        </x14:dataValidation>
        <x14:dataValidation type="list" allowBlank="1" showInputMessage="1" showErrorMessage="1" xr:uid="{0A55A0A8-8777-4C2B-AFEF-B60028BF3D21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F899-6D46-4DDC-9FEC-EBC51C23C17B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45224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88D237-9390-4CC3-8FC7-BC24A4883A39}">
          <x14:formula1>
            <xm:f>Veriler!$B$4:$B$7</xm:f>
          </x14:formula1>
          <xm:sqref>M3:M13</xm:sqref>
        </x14:dataValidation>
        <x14:dataValidation type="list" allowBlank="1" showInputMessage="1" showErrorMessage="1" xr:uid="{B15D2115-CF67-47EB-BF8D-F34CF0A08D13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2BCF-3E83-42BE-B757-320D074C335D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45225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7B3AE48-125D-4C22-B1E7-829528112B9F}">
          <x14:formula1>
            <xm:f>Veriler!$B$4:$B$7</xm:f>
          </x14:formula1>
          <xm:sqref>M3:M13</xm:sqref>
        </x14:dataValidation>
        <x14:dataValidation type="list" allowBlank="1" showInputMessage="1" showErrorMessage="1" xr:uid="{35E5508B-6C4A-4A80-B7A5-10977AA28FC7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687A-AD60-4172-B0FA-D994F9EF2107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45226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9CEC05-44A9-4FAC-B698-6D61A194AE82}">
          <x14:formula1>
            <xm:f>Veriler!$B$4:$B$7</xm:f>
          </x14:formula1>
          <xm:sqref>M3:M13</xm:sqref>
        </x14:dataValidation>
        <x14:dataValidation type="list" allowBlank="1" showInputMessage="1" showErrorMessage="1" xr:uid="{8DB38D65-8CE1-49DD-8F84-4F822260831C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5538-807C-47B7-9443-93D6F4B2B4BB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45227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9EAFCB-8D03-4FC2-9C97-E608E3A9A3EE}">
          <x14:formula1>
            <xm:f>Veriler!$B$4:$B$7</xm:f>
          </x14:formula1>
          <xm:sqref>M3:M13</xm:sqref>
        </x14:dataValidation>
        <x14:dataValidation type="list" allowBlank="1" showInputMessage="1" showErrorMessage="1" xr:uid="{94A4ACA7-D964-4CE7-ADE3-C1EDF344B83F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2D99-5309-43EB-A084-928F3AA1F244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45228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4BC365-60E9-431C-BB14-0A40B253EB9D}">
          <x14:formula1>
            <xm:f>Veriler!$B$4:$B$7</xm:f>
          </x14:formula1>
          <xm:sqref>M3:M13</xm:sqref>
        </x14:dataValidation>
        <x14:dataValidation type="list" allowBlank="1" showInputMessage="1" showErrorMessage="1" xr:uid="{1FBACE0E-0D63-4D91-89C3-C9EB87CE9B47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AAE9-302E-49B8-96D5-563729B8C8B3}">
  <dimension ref="A1:AH26"/>
  <sheetViews>
    <sheetView workbookViewId="0">
      <selection activeCell="A12" sqref="A12:E12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45229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F2BCE8-8B8E-430C-B8E7-B86A4B9C6F6C}">
          <x14:formula1>
            <xm:f>Veriler!$B$4:$B$7</xm:f>
          </x14:formula1>
          <xm:sqref>M3:M13</xm:sqref>
        </x14:dataValidation>
        <x14:dataValidation type="list" allowBlank="1" showInputMessage="1" showErrorMessage="1" xr:uid="{C6F3C17C-3036-4037-ACDF-B839118D3B42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6314-B7D6-411B-81C5-5470CF070C20}">
  <dimension ref="A1:AH26"/>
  <sheetViews>
    <sheetView workbookViewId="0">
      <selection activeCell="B5" sqref="B5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" style="6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>
        <v>45230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/>
      <c r="L3" s="33"/>
      <c r="M3" s="91"/>
      <c r="N3" s="60">
        <f t="shared" ref="N3:N13" si="0">K3-L3</f>
        <v>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52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/>
      <c r="L4" s="35"/>
      <c r="M4" s="92"/>
      <c r="N4" s="60">
        <f t="shared" si="0"/>
        <v>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/>
      <c r="L5" s="35"/>
      <c r="M5" s="92"/>
      <c r="N5" s="60">
        <f t="shared" si="0"/>
        <v>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ca="1">V5-W5</f>
        <v>0</v>
      </c>
      <c r="Y5"/>
      <c r="Z5" s="96" t="s">
        <v>50</v>
      </c>
      <c r="AA5" s="97">
        <f>SUMIF($I$19:$I$25,"MAKSİ KASA",$G$19:$G$25)</f>
        <v>0</v>
      </c>
      <c r="AB5" s="97">
        <f>SUMIF($I$19:$I$25,"MAKSİ KASA",$H$19:$H$25)</f>
        <v>0</v>
      </c>
      <c r="AC5" s="104">
        <f>AA5-AB5</f>
        <v>0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52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ref="X6:X12" ca="1" si="2">V6-W6</f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t="shared" ref="AH6:AH12" ca="1" si="4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t="shared" ca="1" si="4"/>
        <v>0</v>
      </c>
    </row>
    <row r="8" spans="1:34" ht="16.8" x14ac:dyDescent="0.3">
      <c r="A8" s="22" t="s">
        <v>16</v>
      </c>
      <c r="B8" s="52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t="shared" ca="1" si="4"/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t="shared" ca="1" si="4"/>
        <v>0</v>
      </c>
    </row>
    <row r="10" spans="1:34" ht="17.399999999999999" thickBot="1" x14ac:dyDescent="0.35">
      <c r="A10" s="22" t="s">
        <v>7</v>
      </c>
      <c r="B10" s="52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si="4"/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ca="1">V13-W13</f>
        <v>0</v>
      </c>
      <c r="Z13" s="98" t="s">
        <v>15</v>
      </c>
      <c r="AA13" s="99">
        <f>SUM(AA5:AA12)</f>
        <v>0</v>
      </c>
      <c r="AB13" s="99">
        <f>SUM(AB5:AB12)</f>
        <v>0</v>
      </c>
      <c r="AC13" s="106">
        <f t="shared" si="3"/>
        <v>0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0</v>
      </c>
      <c r="J14" s="11"/>
      <c r="K14" s="38">
        <f>SUM(K3:K13)</f>
        <v>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/>
      <c r="H19" s="108"/>
      <c r="I19" s="47"/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F6F39A-A0DD-4713-BFDC-2448187E375F}">
          <x14:formula1>
            <xm:f>Veriler!$B$4:$B$7</xm:f>
          </x14:formula1>
          <xm:sqref>M3:M13</xm:sqref>
        </x14:dataValidation>
        <x14:dataValidation type="list" allowBlank="1" showInputMessage="1" showErrorMessage="1" xr:uid="{92B72816-2FAB-447D-AF46-C687CF97C309}">
          <x14:formula1>
            <xm:f>Veriler!$E$4:$E$11</xm:f>
          </x14:formula1>
          <xm:sqref>O3:P13 O17:P24 I19:I25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067D-3EC8-4D66-A146-93F0D23A48B1}">
  <dimension ref="A1:AH26"/>
  <sheetViews>
    <sheetView workbookViewId="0">
      <selection activeCell="I20" sqref="I20"/>
    </sheetView>
  </sheetViews>
  <sheetFormatPr defaultRowHeight="13.8" x14ac:dyDescent="0.25"/>
  <cols>
    <col min="1" max="1" width="28.77734375" style="2" customWidth="1"/>
    <col min="2" max="2" width="14.5546875" style="2" customWidth="1"/>
    <col min="3" max="3" width="15.6640625" style="2" customWidth="1"/>
    <col min="4" max="4" width="13.5546875" style="2" customWidth="1"/>
    <col min="5" max="5" width="14.6640625" style="2" customWidth="1"/>
    <col min="6" max="6" width="2.77734375" style="2" customWidth="1"/>
    <col min="7" max="7" width="15.88671875" style="2" customWidth="1"/>
    <col min="8" max="8" width="16.44140625" style="2" customWidth="1"/>
    <col min="9" max="9" width="15.44140625" style="2" customWidth="1"/>
    <col min="10" max="10" width="2.77734375" style="2" customWidth="1"/>
    <col min="11" max="11" width="10.109375" style="2" customWidth="1"/>
    <col min="12" max="12" width="10.44140625" style="2" customWidth="1"/>
    <col min="13" max="13" width="13.21875" style="2" customWidth="1"/>
    <col min="14" max="14" width="10.33203125" style="6" bestFit="1" customWidth="1"/>
    <col min="15" max="15" width="11.5546875" style="2" customWidth="1"/>
    <col min="16" max="18" width="8.88671875" style="2"/>
    <col min="19" max="19" width="5.33203125" style="2" customWidth="1"/>
    <col min="20" max="20" width="8.88671875" style="2"/>
    <col min="21" max="21" width="11.77734375" style="2" bestFit="1" customWidth="1"/>
    <col min="22" max="22" width="11.21875" style="2" customWidth="1"/>
    <col min="23" max="23" width="12.77734375" style="2" customWidth="1"/>
    <col min="24" max="24" width="13.21875" style="2" customWidth="1"/>
    <col min="25" max="25" width="8.88671875" style="2"/>
    <col min="26" max="26" width="11.77734375" style="2" bestFit="1" customWidth="1"/>
    <col min="27" max="27" width="12.5546875" style="2" customWidth="1"/>
    <col min="28" max="28" width="13.33203125" style="2" customWidth="1"/>
    <col min="29" max="29" width="13.5546875" style="2" customWidth="1"/>
    <col min="30" max="30" width="8.88671875" style="2"/>
    <col min="31" max="31" width="11.77734375" style="2" bestFit="1" customWidth="1"/>
    <col min="32" max="32" width="12.77734375" style="2" customWidth="1"/>
    <col min="33" max="33" width="14.109375" style="2" customWidth="1"/>
    <col min="34" max="34" width="13.44140625" style="2" customWidth="1"/>
    <col min="35" max="16384" width="8.88671875" style="2"/>
  </cols>
  <sheetData>
    <row r="1" spans="1:34" ht="17.399999999999999" thickBot="1" x14ac:dyDescent="0.35">
      <c r="A1" s="48" t="s">
        <v>65</v>
      </c>
      <c r="B1" s="26" t="s">
        <v>9</v>
      </c>
      <c r="C1" s="27" t="s">
        <v>10</v>
      </c>
      <c r="D1" s="26" t="s">
        <v>11</v>
      </c>
      <c r="E1" s="28" t="s">
        <v>12</v>
      </c>
      <c r="F1" s="1"/>
      <c r="G1" s="191" t="s">
        <v>21</v>
      </c>
      <c r="H1" s="192"/>
      <c r="I1" s="61">
        <f>B25</f>
        <v>0</v>
      </c>
      <c r="J1" s="8"/>
      <c r="K1" s="172" t="s">
        <v>17</v>
      </c>
      <c r="L1" s="173"/>
      <c r="M1" s="173"/>
      <c r="N1" s="173"/>
      <c r="O1" s="173"/>
      <c r="P1" s="174"/>
      <c r="Q1" s="1"/>
    </row>
    <row r="2" spans="1:34" ht="17.399999999999999" thickBot="1" x14ac:dyDescent="0.35">
      <c r="A2" s="21" t="s">
        <v>0</v>
      </c>
      <c r="B2" s="49"/>
      <c r="C2" s="50"/>
      <c r="D2" s="51">
        <f>((B2*8)/100)+((C2*1)/100)</f>
        <v>0</v>
      </c>
      <c r="E2" s="71">
        <f>(B2-C2)-D2</f>
        <v>0</v>
      </c>
      <c r="F2" s="1"/>
      <c r="G2" s="193" t="s">
        <v>22</v>
      </c>
      <c r="H2" s="194"/>
      <c r="I2" s="62">
        <f>C25</f>
        <v>0</v>
      </c>
      <c r="J2" s="11"/>
      <c r="K2" s="29" t="s">
        <v>25</v>
      </c>
      <c r="L2" s="30" t="s">
        <v>26</v>
      </c>
      <c r="M2" s="31" t="s">
        <v>27</v>
      </c>
      <c r="N2" s="30" t="s">
        <v>29</v>
      </c>
      <c r="O2" s="175" t="s">
        <v>30</v>
      </c>
      <c r="P2" s="176"/>
      <c r="Q2" s="1"/>
    </row>
    <row r="3" spans="1:34" ht="17.399999999999999" thickBot="1" x14ac:dyDescent="0.35">
      <c r="A3" s="22" t="s">
        <v>1</v>
      </c>
      <c r="B3" s="52"/>
      <c r="C3" s="53"/>
      <c r="D3" s="51">
        <f>((B3*8)/100)+((C3*0)/100)</f>
        <v>0</v>
      </c>
      <c r="E3" s="72">
        <f>(B3-C3)-D3</f>
        <v>0</v>
      </c>
      <c r="F3" s="1"/>
      <c r="G3" s="195" t="s">
        <v>44</v>
      </c>
      <c r="H3" s="196"/>
      <c r="I3" s="63">
        <f>D25</f>
        <v>0</v>
      </c>
      <c r="J3" s="9"/>
      <c r="K3" s="32">
        <v>720000</v>
      </c>
      <c r="L3" s="33"/>
      <c r="M3" s="91" t="s">
        <v>28</v>
      </c>
      <c r="N3" s="60">
        <f t="shared" ref="N3:N13" si="0">K3-L3</f>
        <v>720000</v>
      </c>
      <c r="O3" s="177"/>
      <c r="P3" s="178"/>
      <c r="Q3" s="1"/>
      <c r="T3" s="94"/>
      <c r="U3" s="171" t="s">
        <v>59</v>
      </c>
      <c r="V3" s="171"/>
      <c r="W3" s="171"/>
      <c r="X3" s="171"/>
      <c r="Y3" s="12"/>
      <c r="Z3" s="171" t="s">
        <v>60</v>
      </c>
      <c r="AA3" s="171"/>
      <c r="AB3" s="171"/>
      <c r="AC3" s="171"/>
      <c r="AD3"/>
      <c r="AE3" s="171" t="s">
        <v>58</v>
      </c>
      <c r="AF3" s="171"/>
      <c r="AG3" s="171"/>
      <c r="AH3" s="171"/>
    </row>
    <row r="4" spans="1:34" ht="16.8" x14ac:dyDescent="0.3">
      <c r="A4" s="22" t="s">
        <v>2</v>
      </c>
      <c r="B4" s="49"/>
      <c r="C4" s="53"/>
      <c r="D4" s="51">
        <f>((B4*9)/100)+((C4*1)/100)</f>
        <v>0</v>
      </c>
      <c r="E4" s="72">
        <f>(B4-C4)-D4</f>
        <v>0</v>
      </c>
      <c r="F4" s="1"/>
      <c r="G4" s="197" t="s">
        <v>45</v>
      </c>
      <c r="H4" s="198"/>
      <c r="I4" s="64">
        <f>E25</f>
        <v>0</v>
      </c>
      <c r="J4" s="9"/>
      <c r="K4" s="34">
        <v>2000</v>
      </c>
      <c r="L4" s="35"/>
      <c r="M4" s="92" t="s">
        <v>64</v>
      </c>
      <c r="N4" s="60">
        <f t="shared" si="0"/>
        <v>2000</v>
      </c>
      <c r="O4" s="167"/>
      <c r="P4" s="168"/>
      <c r="Q4" s="1"/>
      <c r="T4" s="94"/>
      <c r="U4" s="95"/>
      <c r="V4" s="95" t="s">
        <v>39</v>
      </c>
      <c r="W4" s="95" t="s">
        <v>40</v>
      </c>
      <c r="X4" s="95" t="s">
        <v>61</v>
      </c>
      <c r="Y4" s="12"/>
      <c r="Z4" s="95"/>
      <c r="AA4" s="95" t="s">
        <v>39</v>
      </c>
      <c r="AB4" s="95" t="s">
        <v>62</v>
      </c>
      <c r="AC4" s="95" t="s">
        <v>61</v>
      </c>
      <c r="AD4"/>
      <c r="AE4" s="95"/>
      <c r="AF4" s="95" t="s">
        <v>63</v>
      </c>
      <c r="AG4" s="95" t="s">
        <v>62</v>
      </c>
      <c r="AH4" s="95" t="s">
        <v>61</v>
      </c>
    </row>
    <row r="5" spans="1:34" ht="17.399999999999999" thickBot="1" x14ac:dyDescent="0.35">
      <c r="A5" s="22" t="s">
        <v>3</v>
      </c>
      <c r="B5" s="52"/>
      <c r="C5" s="53"/>
      <c r="D5" s="51">
        <f>((B5*2)/100)+((C5*3)/100)</f>
        <v>0</v>
      </c>
      <c r="E5" s="72">
        <f t="shared" ref="E5:E24" si="1">(B5-C5)-D5</f>
        <v>0</v>
      </c>
      <c r="F5" s="1"/>
      <c r="G5" s="199" t="s">
        <v>43</v>
      </c>
      <c r="H5" s="200"/>
      <c r="I5" s="65">
        <f>I1-I2</f>
        <v>0</v>
      </c>
      <c r="J5" s="9"/>
      <c r="K5" s="34">
        <v>10000</v>
      </c>
      <c r="L5" s="35"/>
      <c r="M5" s="92" t="s">
        <v>35</v>
      </c>
      <c r="N5" s="60">
        <f t="shared" si="0"/>
        <v>10000</v>
      </c>
      <c r="O5" s="167"/>
      <c r="P5" s="168"/>
      <c r="Q5" s="1"/>
      <c r="T5" s="94"/>
      <c r="U5" s="96" t="s">
        <v>50</v>
      </c>
      <c r="V5" s="97"/>
      <c r="W5" s="97">
        <f ca="1">SUMIF($O$17:$P$24,"MAKSİ KASA",$N$17:$N$24)</f>
        <v>0</v>
      </c>
      <c r="X5" s="104">
        <f t="shared" ref="X5:X13" ca="1" si="2">V5-W5</f>
        <v>0</v>
      </c>
      <c r="Y5"/>
      <c r="Z5" s="96" t="s">
        <v>50</v>
      </c>
      <c r="AA5" s="97">
        <f>SUMIF($I$19:$I$25,"MAKSİ KASA",$G$19:$G$25)</f>
        <v>41182</v>
      </c>
      <c r="AB5" s="97">
        <f>SUMIF($I$19:$I$25,"MAKSİ KASA",$H$19:$H$25)</f>
        <v>0</v>
      </c>
      <c r="AC5" s="104">
        <f>AA5-AB5</f>
        <v>41182</v>
      </c>
      <c r="AD5"/>
      <c r="AE5" s="96" t="s">
        <v>53</v>
      </c>
      <c r="AF5" s="97">
        <f ca="1">SUMIF($O$3:$P$13,"TONY KASA",$K$3:$K$13)</f>
        <v>0</v>
      </c>
      <c r="AG5" s="97">
        <f ca="1">SUMIF($O$3:$P$13,"TONY KASA",$L$3:$L$13)</f>
        <v>0</v>
      </c>
      <c r="AH5" s="104">
        <f ca="1">AF5-AG5</f>
        <v>0</v>
      </c>
    </row>
    <row r="6" spans="1:34" ht="17.399999999999999" thickBot="1" x14ac:dyDescent="0.35">
      <c r="A6" s="22" t="s">
        <v>4</v>
      </c>
      <c r="B6" s="49"/>
      <c r="C6" s="53"/>
      <c r="D6" s="54">
        <f>((B6*7)/100)+((C6*0)/100)</f>
        <v>0</v>
      </c>
      <c r="E6" s="72">
        <f>(B6-C6)-D6</f>
        <v>0</v>
      </c>
      <c r="F6" s="1"/>
      <c r="G6" s="179"/>
      <c r="H6" s="180"/>
      <c r="I6" s="66"/>
      <c r="J6" s="9"/>
      <c r="K6" s="34"/>
      <c r="L6" s="35"/>
      <c r="M6" s="92"/>
      <c r="N6" s="60">
        <f t="shared" si="0"/>
        <v>0</v>
      </c>
      <c r="O6" s="167"/>
      <c r="P6" s="168"/>
      <c r="Q6" s="1"/>
      <c r="T6" s="94"/>
      <c r="U6" s="96" t="s">
        <v>51</v>
      </c>
      <c r="V6" s="97"/>
      <c r="W6" s="97">
        <f ca="1">SUMIF($O$17:$P$24,"PLUS KASA",$N$17:$N$24)</f>
        <v>0</v>
      </c>
      <c r="X6" s="104">
        <f t="shared" ca="1" si="2"/>
        <v>0</v>
      </c>
      <c r="Y6"/>
      <c r="Z6" s="96" t="s">
        <v>51</v>
      </c>
      <c r="AA6" s="97">
        <f>SUMIF($I$19:$I$25,"PLUS KASA",$G$19:$G$25)</f>
        <v>0</v>
      </c>
      <c r="AB6" s="97">
        <f>SUMIF($I$19:$I$25,"PLUS KASA",$H$19:$H$25)</f>
        <v>0</v>
      </c>
      <c r="AC6" s="104">
        <f t="shared" ref="AC6:AC13" si="3">AA6-AB6</f>
        <v>0</v>
      </c>
      <c r="AD6"/>
      <c r="AE6" s="96" t="s">
        <v>54</v>
      </c>
      <c r="AF6" s="97">
        <f ca="1">SUMIF($O$3:$P$13,"TS KASA",$K$3:$K$13)</f>
        <v>0</v>
      </c>
      <c r="AG6" s="97">
        <f ca="1">SUMIF($O$3:$P$13,"TS KASA",$L$3:$L$13)</f>
        <v>0</v>
      </c>
      <c r="AH6" s="104">
        <f ca="1">AF6-AG6</f>
        <v>0</v>
      </c>
    </row>
    <row r="7" spans="1:34" ht="16.8" x14ac:dyDescent="0.3">
      <c r="A7" s="22" t="s">
        <v>18</v>
      </c>
      <c r="B7" s="52"/>
      <c r="C7" s="53"/>
      <c r="D7" s="54">
        <f>((B7*6)/100)+((C7*0)/100)</f>
        <v>0</v>
      </c>
      <c r="E7" s="72">
        <f t="shared" si="1"/>
        <v>0</v>
      </c>
      <c r="F7" s="1"/>
      <c r="G7" s="14" t="s">
        <v>13</v>
      </c>
      <c r="H7" s="15"/>
      <c r="I7" s="64">
        <f>K14</f>
        <v>732000</v>
      </c>
      <c r="J7" s="9"/>
      <c r="K7" s="34"/>
      <c r="L7" s="35"/>
      <c r="M7" s="92"/>
      <c r="N7" s="60">
        <f t="shared" si="0"/>
        <v>0</v>
      </c>
      <c r="O7" s="167"/>
      <c r="P7" s="168"/>
      <c r="Q7" s="1"/>
      <c r="T7" s="94"/>
      <c r="U7" s="96" t="s">
        <v>52</v>
      </c>
      <c r="V7" s="97"/>
      <c r="W7" s="97">
        <f ca="1">SUMIF($O$17:$P$24,"FTN KASA",$N$17:$N$24)</f>
        <v>0</v>
      </c>
      <c r="X7" s="104">
        <f t="shared" ca="1" si="2"/>
        <v>0</v>
      </c>
      <c r="Y7"/>
      <c r="Z7" s="96" t="s">
        <v>52</v>
      </c>
      <c r="AA7" s="97">
        <f>SUMIF($I$19:$I$25,"FTN KASA",$G$19:$G$25)</f>
        <v>0</v>
      </c>
      <c r="AB7" s="97">
        <f>SUMIF($I$19:$I$25,"FTN KASA",$H$19:$H$25)</f>
        <v>0</v>
      </c>
      <c r="AC7" s="104">
        <f t="shared" si="3"/>
        <v>0</v>
      </c>
      <c r="AD7"/>
      <c r="AE7" s="96" t="s">
        <v>55</v>
      </c>
      <c r="AF7" s="97">
        <f ca="1">SUMIF($O$3:$P$13,"KARTAL KASA",$K$3:$K$13)</f>
        <v>0</v>
      </c>
      <c r="AG7" s="97">
        <f ca="1">SUMIF($O$3:$P$13,"KARTAL KASA",$L$3:$L$13)</f>
        <v>0</v>
      </c>
      <c r="AH7" s="104">
        <f ca="1">AF7-AG7</f>
        <v>0</v>
      </c>
    </row>
    <row r="8" spans="1:34" ht="16.8" x14ac:dyDescent="0.3">
      <c r="A8" s="22" t="s">
        <v>16</v>
      </c>
      <c r="B8" s="49"/>
      <c r="C8" s="53"/>
      <c r="D8" s="54">
        <f>((B8*6)/100)+((C8*1)/100)</f>
        <v>0</v>
      </c>
      <c r="E8" s="72">
        <f>(B8-C8)-D8</f>
        <v>0</v>
      </c>
      <c r="F8" s="1"/>
      <c r="G8" s="201" t="s">
        <v>19</v>
      </c>
      <c r="H8" s="202"/>
      <c r="I8" s="67">
        <f>L14</f>
        <v>0</v>
      </c>
      <c r="J8" s="9"/>
      <c r="K8" s="34"/>
      <c r="L8" s="35"/>
      <c r="M8" s="92"/>
      <c r="N8" s="60">
        <f t="shared" si="0"/>
        <v>0</v>
      </c>
      <c r="O8" s="167"/>
      <c r="P8" s="168"/>
      <c r="Q8" s="1"/>
      <c r="T8" s="94"/>
      <c r="U8" s="96" t="s">
        <v>53</v>
      </c>
      <c r="V8" s="97"/>
      <c r="W8" s="97">
        <f ca="1">SUMIF($O$17:$P$24,"TONY KASA",$N$17:$N$24)</f>
        <v>0</v>
      </c>
      <c r="X8" s="104">
        <f t="shared" ca="1" si="2"/>
        <v>0</v>
      </c>
      <c r="Y8"/>
      <c r="Z8" s="96" t="s">
        <v>53</v>
      </c>
      <c r="AA8" s="97">
        <f>SUMIF($I$19:$I$25,"TONY KASA",$G$19:$G$25)</f>
        <v>0</v>
      </c>
      <c r="AB8" s="97">
        <f>SUMIF($I$19:$I$25,"TONY KASA",$H$19:$H$25)</f>
        <v>0</v>
      </c>
      <c r="AC8" s="104">
        <f t="shared" si="3"/>
        <v>0</v>
      </c>
      <c r="AD8"/>
      <c r="AE8" s="96" t="s">
        <v>56</v>
      </c>
      <c r="AF8" s="97">
        <f ca="1">SUMIF($O$3:$P$13,"ALEX KASA",$K$3:$K$13)</f>
        <v>0</v>
      </c>
      <c r="AG8" s="97">
        <f ca="1">SUMIF($O$3:$P$13,"ALEX KASA",$L$3:$L$13)</f>
        <v>0</v>
      </c>
      <c r="AH8" s="104">
        <f ca="1">AF8-AG8</f>
        <v>0</v>
      </c>
    </row>
    <row r="9" spans="1:34" ht="17.399999999999999" thickBot="1" x14ac:dyDescent="0.35">
      <c r="A9" s="22" t="s">
        <v>5</v>
      </c>
      <c r="B9" s="52"/>
      <c r="C9" s="53"/>
      <c r="D9" s="54">
        <f>((B9*10)/100)</f>
        <v>0</v>
      </c>
      <c r="E9" s="72">
        <f>(B9-C9)-D9</f>
        <v>0</v>
      </c>
      <c r="F9" s="1"/>
      <c r="G9" s="183" t="s">
        <v>42</v>
      </c>
      <c r="H9" s="184"/>
      <c r="I9" s="65">
        <f>I7-I8</f>
        <v>732000</v>
      </c>
      <c r="J9" s="9"/>
      <c r="K9" s="34"/>
      <c r="L9" s="35"/>
      <c r="M9" s="92"/>
      <c r="N9" s="60">
        <f t="shared" si="0"/>
        <v>0</v>
      </c>
      <c r="O9" s="167"/>
      <c r="P9" s="168"/>
      <c r="Q9" s="1"/>
      <c r="T9" s="94"/>
      <c r="U9" s="96" t="s">
        <v>54</v>
      </c>
      <c r="V9" s="97"/>
      <c r="W9" s="97">
        <f ca="1">SUMIF($O$17:$P$24,"TS KASA",$N$17:$N$24)</f>
        <v>0</v>
      </c>
      <c r="X9" s="104">
        <f t="shared" ca="1" si="2"/>
        <v>0</v>
      </c>
      <c r="Y9"/>
      <c r="Z9" s="96" t="s">
        <v>54</v>
      </c>
      <c r="AA9" s="97">
        <f>SUMIF($I$19:$I$25,"TS KASA",$G$19:$G$25)</f>
        <v>0</v>
      </c>
      <c r="AB9" s="97">
        <f>SUMIF($I$19:$I$25,"TS KASA",$H$19:$H$25)</f>
        <v>0</v>
      </c>
      <c r="AC9" s="104">
        <f t="shared" si="3"/>
        <v>0</v>
      </c>
      <c r="AD9"/>
      <c r="AE9" s="96" t="s">
        <v>57</v>
      </c>
      <c r="AF9" s="97">
        <f ca="1">SUMIF($O$3:$P$13,"KORAY KASA",$K$3:$K$13)</f>
        <v>0</v>
      </c>
      <c r="AG9" s="97">
        <f ca="1">SUMIF($O$3:$P$13,"KORAY KASA",$L$3:$L$13)</f>
        <v>0</v>
      </c>
      <c r="AH9" s="104">
        <f ca="1">AF9-AG9</f>
        <v>0</v>
      </c>
    </row>
    <row r="10" spans="1:34" ht="17.399999999999999" thickBot="1" x14ac:dyDescent="0.35">
      <c r="A10" s="22" t="s">
        <v>7</v>
      </c>
      <c r="B10" s="49"/>
      <c r="C10" s="53"/>
      <c r="D10" s="54">
        <f>((B10*9)/100)+((C10*0)/100)</f>
        <v>0</v>
      </c>
      <c r="E10" s="72">
        <f>(B10-C10)-D10</f>
        <v>0</v>
      </c>
      <c r="F10" s="1"/>
      <c r="G10" s="16"/>
      <c r="H10" s="17"/>
      <c r="I10" s="66"/>
      <c r="J10" s="9"/>
      <c r="K10" s="34"/>
      <c r="L10" s="35"/>
      <c r="M10" s="92"/>
      <c r="N10" s="60">
        <f t="shared" si="0"/>
        <v>0</v>
      </c>
      <c r="O10" s="167"/>
      <c r="P10" s="168"/>
      <c r="Q10" s="1"/>
      <c r="T10" s="94"/>
      <c r="U10" s="96" t="s">
        <v>55</v>
      </c>
      <c r="V10" s="97"/>
      <c r="W10" s="97">
        <f ca="1">SUMIF($O$17:$P$24,"KARTAL KASA",$N$17:$N$24)</f>
        <v>0</v>
      </c>
      <c r="X10" s="104">
        <f t="shared" ca="1" si="2"/>
        <v>0</v>
      </c>
      <c r="Y10"/>
      <c r="Z10" s="96" t="s">
        <v>55</v>
      </c>
      <c r="AA10" s="97">
        <f>SUMIF($I$19:$I$25,"KARTAL KASA",$G$19:$G$25)</f>
        <v>0</v>
      </c>
      <c r="AB10" s="97">
        <f>SUMIF($I$19:$I$25,"KARTAL KASA",$H$19:$H$25)</f>
        <v>0</v>
      </c>
      <c r="AC10" s="104">
        <f t="shared" si="3"/>
        <v>0</v>
      </c>
      <c r="AD10"/>
      <c r="AE10" s="96"/>
      <c r="AF10" s="97"/>
      <c r="AG10" s="97"/>
      <c r="AH10" s="104">
        <f t="shared" ref="AH10:AH12" si="4">AF10-AG10</f>
        <v>0</v>
      </c>
    </row>
    <row r="11" spans="1:34" ht="16.8" x14ac:dyDescent="0.3">
      <c r="A11" s="22" t="s">
        <v>8</v>
      </c>
      <c r="B11" s="52"/>
      <c r="C11" s="53"/>
      <c r="D11" s="54">
        <f>((B11*8)/100)+((C11*0)/100)</f>
        <v>0</v>
      </c>
      <c r="E11" s="72">
        <f>(B11-C11)-D11</f>
        <v>0</v>
      </c>
      <c r="F11" s="1"/>
      <c r="G11" s="203" t="s">
        <v>23</v>
      </c>
      <c r="H11" s="204"/>
      <c r="I11" s="68">
        <f>I1+I7</f>
        <v>732000</v>
      </c>
      <c r="J11" s="9"/>
      <c r="K11" s="34"/>
      <c r="L11" s="35"/>
      <c r="M11" s="92"/>
      <c r="N11" s="60">
        <f t="shared" si="0"/>
        <v>0</v>
      </c>
      <c r="O11" s="167"/>
      <c r="P11" s="168"/>
      <c r="Q11" s="1"/>
      <c r="T11" s="94"/>
      <c r="U11" s="96" t="s">
        <v>56</v>
      </c>
      <c r="V11" s="97"/>
      <c r="W11" s="97">
        <f ca="1">SUMIF($O$17:$P$24,"ALEX KASA",$N$17:$N$24)</f>
        <v>0</v>
      </c>
      <c r="X11" s="104">
        <f t="shared" ca="1" si="2"/>
        <v>0</v>
      </c>
      <c r="Y11"/>
      <c r="Z11" s="96" t="s">
        <v>56</v>
      </c>
      <c r="AA11" s="97">
        <f>SUMIF($I$19:$I$25,"ALEX KASA",$G$19:$G$25)</f>
        <v>0</v>
      </c>
      <c r="AB11" s="97">
        <f>SUMIF($I$19:$I$25,"ALEX KASA",$H$19:$H$25)</f>
        <v>0</v>
      </c>
      <c r="AC11" s="104">
        <f t="shared" si="3"/>
        <v>0</v>
      </c>
      <c r="AD11"/>
      <c r="AE11" s="96"/>
      <c r="AF11" s="97"/>
      <c r="AG11" s="97"/>
      <c r="AH11" s="104">
        <f t="shared" si="4"/>
        <v>0</v>
      </c>
    </row>
    <row r="12" spans="1:34" ht="17.399999999999999" thickBot="1" x14ac:dyDescent="0.35">
      <c r="A12" s="22" t="s">
        <v>6</v>
      </c>
      <c r="B12" s="49"/>
      <c r="C12" s="53"/>
      <c r="D12" s="54">
        <f>((B12*0)/100)+((C12*0)/100)</f>
        <v>0</v>
      </c>
      <c r="E12" s="72">
        <f>(B12-C12)-D12</f>
        <v>0</v>
      </c>
      <c r="F12" s="1"/>
      <c r="G12" s="205" t="s">
        <v>24</v>
      </c>
      <c r="H12" s="206"/>
      <c r="I12" s="69">
        <f>I2+I8</f>
        <v>0</v>
      </c>
      <c r="J12" s="9"/>
      <c r="K12" s="34"/>
      <c r="L12" s="35"/>
      <c r="M12" s="92"/>
      <c r="N12" s="60">
        <f t="shared" si="0"/>
        <v>0</v>
      </c>
      <c r="O12" s="167"/>
      <c r="P12" s="168"/>
      <c r="Q12" s="1"/>
      <c r="T12" s="94"/>
      <c r="U12" s="96" t="s">
        <v>57</v>
      </c>
      <c r="V12" s="97"/>
      <c r="W12" s="97">
        <f ca="1">SUMIF($O$17:$P$24,"KORAY KASA",$N$17:$N$24)</f>
        <v>0</v>
      </c>
      <c r="X12" s="104">
        <f t="shared" ca="1" si="2"/>
        <v>0</v>
      </c>
      <c r="Y12"/>
      <c r="Z12" s="96" t="s">
        <v>57</v>
      </c>
      <c r="AA12" s="97">
        <f>SUMIF($I$19:$I$25,"KORAY KASA",$G$19:$G$25)</f>
        <v>0</v>
      </c>
      <c r="AB12" s="97">
        <f>SUMIF($I$19:$I$25,"KORAY KASA",$H$19:$H$25)</f>
        <v>0</v>
      </c>
      <c r="AC12" s="104">
        <f t="shared" si="3"/>
        <v>0</v>
      </c>
      <c r="AD12"/>
      <c r="AE12" s="96"/>
      <c r="AF12" s="97"/>
      <c r="AG12" s="97"/>
      <c r="AH12" s="104">
        <f t="shared" si="4"/>
        <v>0</v>
      </c>
    </row>
    <row r="13" spans="1:34" ht="17.399999999999999" thickBot="1" x14ac:dyDescent="0.35">
      <c r="A13" s="22"/>
      <c r="B13" s="52"/>
      <c r="C13" s="53"/>
      <c r="D13" s="54">
        <f>((B13*9)/100)+((C13*1)/100)</f>
        <v>0</v>
      </c>
      <c r="E13" s="72">
        <f t="shared" si="1"/>
        <v>0</v>
      </c>
      <c r="F13" s="1"/>
      <c r="G13" s="207" t="s">
        <v>31</v>
      </c>
      <c r="H13" s="208"/>
      <c r="I13" s="70">
        <f>N25</f>
        <v>0</v>
      </c>
      <c r="J13" s="9"/>
      <c r="K13" s="36"/>
      <c r="L13" s="37"/>
      <c r="M13" s="93"/>
      <c r="N13" s="60">
        <f t="shared" si="0"/>
        <v>0</v>
      </c>
      <c r="O13" s="169"/>
      <c r="P13" s="170"/>
      <c r="Q13" s="1"/>
      <c r="T13" s="98" t="s">
        <v>15</v>
      </c>
      <c r="U13" s="98"/>
      <c r="V13" s="98"/>
      <c r="W13" s="99">
        <f ca="1">SUM(W5:W12)</f>
        <v>0</v>
      </c>
      <c r="X13" s="106">
        <f t="shared" ca="1" si="2"/>
        <v>0</v>
      </c>
      <c r="Z13" s="98" t="s">
        <v>15</v>
      </c>
      <c r="AA13" s="99">
        <f>SUM(AA5:AA12)</f>
        <v>41182</v>
      </c>
      <c r="AB13" s="99">
        <f>SUM(AB5:AB12)</f>
        <v>0</v>
      </c>
      <c r="AC13" s="106">
        <f t="shared" si="3"/>
        <v>41182</v>
      </c>
      <c r="AE13" s="98" t="s">
        <v>15</v>
      </c>
      <c r="AF13" s="99">
        <f ca="1">SUM(AF5:AF12)</f>
        <v>0</v>
      </c>
      <c r="AG13" s="99">
        <f ca="1">SUM(AG5:AG12)</f>
        <v>0</v>
      </c>
      <c r="AH13" s="105">
        <f ca="1">SUM(AH5:AH12)</f>
        <v>0</v>
      </c>
    </row>
    <row r="14" spans="1:34" ht="17.399999999999999" thickBot="1" x14ac:dyDescent="0.35">
      <c r="A14" s="22"/>
      <c r="B14" s="52"/>
      <c r="C14" s="53"/>
      <c r="D14" s="54">
        <f>((B14*9)/100)+((C14*1)/100)</f>
        <v>0</v>
      </c>
      <c r="E14" s="72">
        <f t="shared" si="1"/>
        <v>0</v>
      </c>
      <c r="F14" s="1"/>
      <c r="G14" s="185" t="s">
        <v>20</v>
      </c>
      <c r="H14" s="186"/>
      <c r="I14" s="189">
        <f>I11-(I12+I13+I3)</f>
        <v>732000</v>
      </c>
      <c r="J14" s="11"/>
      <c r="K14" s="38">
        <f>SUM(K3:K13)</f>
        <v>732000</v>
      </c>
      <c r="L14" s="38">
        <f>SUM(L3:L13)</f>
        <v>0</v>
      </c>
      <c r="M14" s="39"/>
      <c r="N14" s="40"/>
      <c r="O14" s="209"/>
      <c r="P14" s="174"/>
      <c r="Q14" s="1"/>
    </row>
    <row r="15" spans="1:34" ht="17.399999999999999" thickBot="1" x14ac:dyDescent="0.35">
      <c r="A15" s="22"/>
      <c r="B15" s="52"/>
      <c r="C15" s="53"/>
      <c r="D15" s="54">
        <f>((B15*7)/100)+((C15*1)/100)</f>
        <v>0</v>
      </c>
      <c r="E15" s="72">
        <f t="shared" si="1"/>
        <v>0</v>
      </c>
      <c r="F15" s="1"/>
      <c r="G15" s="187"/>
      <c r="H15" s="188"/>
      <c r="I15" s="190"/>
      <c r="J15" s="10"/>
      <c r="K15" s="212" t="s">
        <v>31</v>
      </c>
      <c r="L15" s="213"/>
      <c r="M15" s="213"/>
      <c r="N15" s="213"/>
      <c r="O15" s="213"/>
      <c r="P15" s="214"/>
      <c r="Q15" s="1"/>
    </row>
    <row r="16" spans="1:34" ht="17.399999999999999" thickBot="1" x14ac:dyDescent="0.35">
      <c r="A16" s="22"/>
      <c r="B16" s="52"/>
      <c r="C16" s="53"/>
      <c r="D16" s="54">
        <f>((B16*9)/100)+((C16*0)/100)</f>
        <v>0</v>
      </c>
      <c r="E16" s="72">
        <f t="shared" si="1"/>
        <v>0</v>
      </c>
      <c r="F16" s="1"/>
      <c r="G16" s="18"/>
      <c r="H16" s="19"/>
      <c r="I16" s="20"/>
      <c r="J16" s="3"/>
      <c r="K16" s="215" t="s">
        <v>32</v>
      </c>
      <c r="L16" s="216"/>
      <c r="M16" s="217"/>
      <c r="N16" s="30" t="s">
        <v>33</v>
      </c>
      <c r="O16" s="175" t="s">
        <v>30</v>
      </c>
      <c r="P16" s="176"/>
      <c r="Q16" s="1"/>
    </row>
    <row r="17" spans="1:17" ht="17.399999999999999" thickBot="1" x14ac:dyDescent="0.35">
      <c r="A17" s="22"/>
      <c r="B17" s="52"/>
      <c r="C17" s="53"/>
      <c r="D17" s="54">
        <f>((B17*12)/100)+((C17*0)/100)</f>
        <v>0</v>
      </c>
      <c r="E17" s="72">
        <f t="shared" si="1"/>
        <v>0</v>
      </c>
      <c r="F17" s="1"/>
      <c r="G17" s="181" t="s">
        <v>38</v>
      </c>
      <c r="H17" s="182"/>
      <c r="I17" s="182"/>
      <c r="J17" s="4"/>
      <c r="K17" s="210"/>
      <c r="L17" s="210"/>
      <c r="M17" s="211"/>
      <c r="N17" s="41"/>
      <c r="O17" s="218"/>
      <c r="P17" s="210"/>
      <c r="Q17" s="1"/>
    </row>
    <row r="18" spans="1:17" ht="17.399999999999999" thickBot="1" x14ac:dyDescent="0.35">
      <c r="A18" s="22"/>
      <c r="B18" s="52"/>
      <c r="C18" s="53"/>
      <c r="D18" s="54">
        <f>((B18*7)/100)+((C20*0)/100)</f>
        <v>0</v>
      </c>
      <c r="E18" s="72">
        <f t="shared" si="1"/>
        <v>0</v>
      </c>
      <c r="F18" s="1"/>
      <c r="G18" s="46" t="s">
        <v>39</v>
      </c>
      <c r="H18" s="45" t="s">
        <v>40</v>
      </c>
      <c r="I18" s="46" t="s">
        <v>41</v>
      </c>
      <c r="J18" s="5"/>
      <c r="K18" s="224"/>
      <c r="L18" s="225"/>
      <c r="M18" s="225"/>
      <c r="N18" s="42"/>
      <c r="O18" s="219"/>
      <c r="P18" s="220"/>
      <c r="Q18" s="1"/>
    </row>
    <row r="19" spans="1:17" ht="17.399999999999999" thickBot="1" x14ac:dyDescent="0.35">
      <c r="A19" s="22"/>
      <c r="B19" s="52"/>
      <c r="C19" s="53"/>
      <c r="D19" s="54">
        <f t="shared" ref="D19:D24" si="5">((B19*7)/100)+((C21*0)/100)</f>
        <v>0</v>
      </c>
      <c r="E19" s="72">
        <f t="shared" si="1"/>
        <v>0</v>
      </c>
      <c r="F19" s="1"/>
      <c r="G19" s="107">
        <v>41182</v>
      </c>
      <c r="H19" s="108"/>
      <c r="I19" s="47" t="s">
        <v>50</v>
      </c>
      <c r="J19" s="5"/>
      <c r="K19" s="224"/>
      <c r="L19" s="225"/>
      <c r="M19" s="225"/>
      <c r="N19" s="42"/>
      <c r="O19" s="219"/>
      <c r="P19" s="220"/>
      <c r="Q19" s="1"/>
    </row>
    <row r="20" spans="1:17" ht="17.399999999999999" thickBot="1" x14ac:dyDescent="0.35">
      <c r="A20" s="22"/>
      <c r="B20" s="52"/>
      <c r="C20" s="53"/>
      <c r="D20" s="54">
        <f t="shared" si="5"/>
        <v>0</v>
      </c>
      <c r="E20" s="72">
        <f t="shared" si="1"/>
        <v>0</v>
      </c>
      <c r="F20" s="1"/>
      <c r="G20" s="107"/>
      <c r="H20" s="108"/>
      <c r="I20" s="47"/>
      <c r="J20" s="5"/>
      <c r="K20" s="224"/>
      <c r="L20" s="225"/>
      <c r="M20" s="225"/>
      <c r="N20" s="42"/>
      <c r="O20" s="219"/>
      <c r="P20" s="220"/>
      <c r="Q20" s="1"/>
    </row>
    <row r="21" spans="1:17" ht="17.399999999999999" thickBot="1" x14ac:dyDescent="0.35">
      <c r="A21" s="23"/>
      <c r="B21" s="55"/>
      <c r="C21" s="56"/>
      <c r="D21" s="54">
        <f t="shared" si="5"/>
        <v>0</v>
      </c>
      <c r="E21" s="72">
        <f t="shared" si="1"/>
        <v>0</v>
      </c>
      <c r="F21" s="1"/>
      <c r="G21" s="107"/>
      <c r="H21" s="108"/>
      <c r="I21" s="47"/>
      <c r="J21" s="5"/>
      <c r="K21" s="224"/>
      <c r="L21" s="225"/>
      <c r="M21" s="225"/>
      <c r="N21" s="42"/>
      <c r="O21" s="219"/>
      <c r="P21" s="220"/>
      <c r="Q21" s="1"/>
    </row>
    <row r="22" spans="1:17" ht="17.399999999999999" thickBot="1" x14ac:dyDescent="0.35">
      <c r="A22" s="23"/>
      <c r="B22" s="55"/>
      <c r="C22" s="56"/>
      <c r="D22" s="54">
        <f t="shared" si="5"/>
        <v>0</v>
      </c>
      <c r="E22" s="72">
        <f t="shared" si="1"/>
        <v>0</v>
      </c>
      <c r="F22" s="1"/>
      <c r="G22" s="107"/>
      <c r="H22" s="108"/>
      <c r="I22" s="47"/>
      <c r="J22" s="5"/>
      <c r="K22" s="224"/>
      <c r="L22" s="225"/>
      <c r="M22" s="225"/>
      <c r="N22" s="42"/>
      <c r="O22" s="219"/>
      <c r="P22" s="220"/>
      <c r="Q22" s="1"/>
    </row>
    <row r="23" spans="1:17" ht="17.399999999999999" thickBot="1" x14ac:dyDescent="0.35">
      <c r="A23" s="23"/>
      <c r="B23" s="55"/>
      <c r="C23" s="56"/>
      <c r="D23" s="54">
        <f t="shared" si="5"/>
        <v>0</v>
      </c>
      <c r="E23" s="72">
        <f t="shared" si="1"/>
        <v>0</v>
      </c>
      <c r="F23" s="1"/>
      <c r="G23" s="107"/>
      <c r="H23" s="108"/>
      <c r="I23" s="47"/>
      <c r="J23" s="5"/>
      <c r="K23" s="224"/>
      <c r="L23" s="225"/>
      <c r="M23" s="225"/>
      <c r="N23" s="42"/>
      <c r="O23" s="219"/>
      <c r="P23" s="220"/>
      <c r="Q23" s="1"/>
    </row>
    <row r="24" spans="1:17" ht="17.399999999999999" thickBot="1" x14ac:dyDescent="0.35">
      <c r="A24" s="24"/>
      <c r="B24" s="55"/>
      <c r="C24" s="57"/>
      <c r="D24" s="54">
        <f t="shared" si="5"/>
        <v>0</v>
      </c>
      <c r="E24" s="72">
        <f t="shared" si="1"/>
        <v>0</v>
      </c>
      <c r="F24" s="1"/>
      <c r="G24" s="107"/>
      <c r="H24" s="108"/>
      <c r="I24" s="47"/>
      <c r="J24" s="5"/>
      <c r="K24" s="226"/>
      <c r="L24" s="227"/>
      <c r="M24" s="227"/>
      <c r="N24" s="43"/>
      <c r="O24" s="221"/>
      <c r="P24" s="222"/>
      <c r="Q24" s="1"/>
    </row>
    <row r="25" spans="1:17" ht="17.399999999999999" thickBot="1" x14ac:dyDescent="0.35">
      <c r="A25" s="25" t="s">
        <v>14</v>
      </c>
      <c r="B25" s="58">
        <f>SUM(B2:B24)</f>
        <v>0</v>
      </c>
      <c r="C25" s="58">
        <f>SUM(C2:C24)</f>
        <v>0</v>
      </c>
      <c r="D25" s="59">
        <f>SUM(D2:D24)</f>
        <v>0</v>
      </c>
      <c r="E25" s="73">
        <f>SUM(E2:E24)</f>
        <v>0</v>
      </c>
      <c r="F25" s="1"/>
      <c r="G25" s="107"/>
      <c r="H25" s="108"/>
      <c r="I25" s="47"/>
      <c r="J25" s="5"/>
      <c r="K25" s="228" t="s">
        <v>15</v>
      </c>
      <c r="L25" s="229"/>
      <c r="M25" s="229"/>
      <c r="N25" s="44">
        <f>SUM(N17:N24)</f>
        <v>0</v>
      </c>
      <c r="O25" s="223"/>
      <c r="P25" s="214"/>
      <c r="Q25" s="1"/>
    </row>
    <row r="26" spans="1:17" ht="16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7"/>
      <c r="N26" s="13"/>
      <c r="O26" s="7"/>
      <c r="P26" s="7"/>
      <c r="Q26" s="1"/>
    </row>
  </sheetData>
  <mergeCells count="52">
    <mergeCell ref="G5:H5"/>
    <mergeCell ref="O5:P5"/>
    <mergeCell ref="G1:H1"/>
    <mergeCell ref="K1:P1"/>
    <mergeCell ref="G2:H2"/>
    <mergeCell ref="O2:P2"/>
    <mergeCell ref="G3:H3"/>
    <mergeCell ref="O3:P3"/>
    <mergeCell ref="U3:X3"/>
    <mergeCell ref="Z3:AC3"/>
    <mergeCell ref="AE3:AH3"/>
    <mergeCell ref="G4:H4"/>
    <mergeCell ref="O4:P4"/>
    <mergeCell ref="G13:H13"/>
    <mergeCell ref="O13:P13"/>
    <mergeCell ref="G6:H6"/>
    <mergeCell ref="O6:P6"/>
    <mergeCell ref="O7:P7"/>
    <mergeCell ref="G8:H8"/>
    <mergeCell ref="O8:P8"/>
    <mergeCell ref="G9:H9"/>
    <mergeCell ref="O9:P9"/>
    <mergeCell ref="O10:P10"/>
    <mergeCell ref="G11:H11"/>
    <mergeCell ref="O11:P11"/>
    <mergeCell ref="G12:H12"/>
    <mergeCell ref="O12:P12"/>
    <mergeCell ref="K19:M19"/>
    <mergeCell ref="O19:P19"/>
    <mergeCell ref="G14:H15"/>
    <mergeCell ref="I14:I15"/>
    <mergeCell ref="O14:P14"/>
    <mergeCell ref="K15:P15"/>
    <mergeCell ref="K16:M16"/>
    <mergeCell ref="O16:P16"/>
    <mergeCell ref="G17:I17"/>
    <mergeCell ref="K17:M17"/>
    <mergeCell ref="O17:P17"/>
    <mergeCell ref="K18:M18"/>
    <mergeCell ref="O18:P18"/>
    <mergeCell ref="K20:M20"/>
    <mergeCell ref="O20:P20"/>
    <mergeCell ref="K21:M21"/>
    <mergeCell ref="O21:P21"/>
    <mergeCell ref="K22:M22"/>
    <mergeCell ref="O22:P22"/>
    <mergeCell ref="K23:M23"/>
    <mergeCell ref="O23:P23"/>
    <mergeCell ref="K24:M24"/>
    <mergeCell ref="O24:P24"/>
    <mergeCell ref="K25:M25"/>
    <mergeCell ref="O25:P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5C2E3C-77A7-4E6C-A9EC-4008059F0AE4}">
          <x14:formula1>
            <xm:f>Veriler!$E$4:$E$11</xm:f>
          </x14:formula1>
          <xm:sqref>O3:P13 O17:P24 I19:I25</xm:sqref>
        </x14:dataValidation>
        <x14:dataValidation type="list" allowBlank="1" showInputMessage="1" showErrorMessage="1" xr:uid="{71E400B0-9EE3-4FB4-8CE4-764D8ED39F66}">
          <x14:formula1>
            <xm:f>Veriler!$B$4:$B$7</xm:f>
          </x14:formula1>
          <xm:sqref>M3:M13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1A54-C616-47BD-85BA-B9216A155C80}">
  <dimension ref="A1:N39"/>
  <sheetViews>
    <sheetView workbookViewId="0">
      <selection activeCell="G9" sqref="G9"/>
    </sheetView>
  </sheetViews>
  <sheetFormatPr defaultRowHeight="14.4" x14ac:dyDescent="0.3"/>
  <cols>
    <col min="1" max="1" width="14.33203125" customWidth="1"/>
    <col min="2" max="2" width="12.77734375" customWidth="1"/>
    <col min="3" max="3" width="12.44140625" customWidth="1"/>
    <col min="4" max="4" width="14.5546875" customWidth="1"/>
    <col min="6" max="6" width="28.77734375" bestFit="1" customWidth="1"/>
    <col min="7" max="7" width="10.88671875" customWidth="1"/>
    <col min="8" max="8" width="11" customWidth="1"/>
    <col min="9" max="9" width="11.21875" customWidth="1"/>
    <col min="11" max="11" width="15" bestFit="1" customWidth="1"/>
    <col min="12" max="12" width="12.44140625" customWidth="1"/>
    <col min="13" max="13" width="12.21875" customWidth="1"/>
    <col min="14" max="14" width="15" customWidth="1"/>
  </cols>
  <sheetData>
    <row r="1" spans="1:14" x14ac:dyDescent="0.3">
      <c r="A1" s="171" t="s">
        <v>59</v>
      </c>
      <c r="B1" s="171"/>
      <c r="C1" s="171"/>
      <c r="D1" s="171"/>
      <c r="E1" s="103"/>
      <c r="F1" s="171" t="s">
        <v>60</v>
      </c>
      <c r="G1" s="171"/>
      <c r="H1" s="171"/>
      <c r="I1" s="171"/>
      <c r="J1" s="103"/>
      <c r="K1" s="171" t="s">
        <v>58</v>
      </c>
      <c r="L1" s="171"/>
      <c r="M1" s="171"/>
      <c r="N1" s="171"/>
    </row>
    <row r="2" spans="1:14" x14ac:dyDescent="0.3">
      <c r="A2" s="102"/>
      <c r="B2" s="102" t="s">
        <v>39</v>
      </c>
      <c r="C2" s="102" t="s">
        <v>40</v>
      </c>
      <c r="D2" s="102" t="s">
        <v>61</v>
      </c>
      <c r="E2" s="101"/>
      <c r="F2" s="102"/>
      <c r="G2" s="102" t="s">
        <v>39</v>
      </c>
      <c r="H2" s="102" t="s">
        <v>62</v>
      </c>
      <c r="I2" s="102" t="s">
        <v>61</v>
      </c>
      <c r="J2" s="101"/>
      <c r="K2" s="102"/>
      <c r="L2" s="102" t="s">
        <v>63</v>
      </c>
      <c r="M2" s="102" t="s">
        <v>62</v>
      </c>
      <c r="N2" s="102" t="s">
        <v>61</v>
      </c>
    </row>
    <row r="3" spans="1:14" x14ac:dyDescent="0.3">
      <c r="A3" s="96" t="s">
        <v>50</v>
      </c>
      <c r="B3" s="97"/>
      <c r="C3" s="97">
        <f ca="1">SUM(Devir!W5,'1'!W5,'2'!W5,'3'!W5,'4'!W5,'5'!W5,'6'!W5,'7'!W5,'8'!W5,'9'!W5,'10'!W5,'11'!W5,'12'!W5,'13'!W5,'14'!W5,'15'!W5,'16'!W5,'17'!W5,'18'!W5,'19'!W5,'20'!W5,'21'!W5,'22'!W5,'23'!W5,'24'!W5,'25'!W5,'26'!W5,'27'!W5,'28'!W5,'29'!W5,'30'!W5,'31'!W5)</f>
        <v>0</v>
      </c>
      <c r="D3" s="97"/>
      <c r="F3" s="96" t="s">
        <v>50</v>
      </c>
      <c r="G3" s="97">
        <f>SUM(Devir!AA5,'1'!AA5,'2'!AA5,'3'!AA5,'4'!AA5,'5'!AA5,'6'!AA5,'7'!AA5,'8'!AA5,'9'!AA5,'10'!AA5,'11'!AA5,'12'!AA5,'13'!AA5,'14'!AA5,'15'!AA5,'16'!AA5,'17'!AA5,'18'!AA5,'19'!AA5,'20'!AA5,'21'!AA5,'22'!AA5,'23'!AA5,'24'!AA5,'25'!AA5,'26'!AA5,'27'!AA5,'28'!AA5,'29'!AA5,'30'!AA5,'31'!AA5)</f>
        <v>41182</v>
      </c>
      <c r="H3" s="97">
        <f>SUM(Devir!AB5,'1'!AB5,'2'!AB5,'3'!AB5,'4'!AB5,'5'!AB5,'6'!AB5,'7'!AB5,'8'!AB5,'9'!AB5,'10'!AB5,'11'!AB5,'12'!AB5,'13'!AB5,'14'!AB5,'15'!AB5,'16'!AB5,'17'!AB5,'18'!AB5,'19'!AB5,'20'!AB5,'21'!AB5,'22'!AB5,'23'!AB5,'24'!AB5,'25'!AB5,'26'!AB5,'27'!AB5,'28'!AB5,'29'!AB5,'30'!AB5,'31'!AB5)</f>
        <v>0</v>
      </c>
      <c r="I3" s="97">
        <f>G3-H3</f>
        <v>41182</v>
      </c>
      <c r="K3" s="96" t="s">
        <v>53</v>
      </c>
      <c r="L3" s="97">
        <f ca="1">SUM(Devir!AF5,'1'!AF5,'2'!AF5,'3'!AF5,'4'!AF5,'5'!AF5,'6'!AF5,'7'!AF5,'8'!AF5,'9'!AF5,'10'!AF5,'11'!AF5,'12'!AF5,'13'!AF5,'14'!AF5,'15'!AF5,'16'!AF5,'17'!AF5,'18'!AF5,'19'!AF5,'20'!AF5,'21'!AF5,'22'!AF5,'23'!AF5,'24'!AF5,'25'!AF5,'26'!AF5,'27'!AF5,'28'!AF5,'29'!AF5,'30'!AF5,'31'!AF5)</f>
        <v>44000</v>
      </c>
      <c r="M3" s="97">
        <f ca="1">SUM(Devir!AG5,'1'!AG5,'2'!AG5,'3'!AG5,'4'!AG5,'5'!AG5,'6'!AG5,'7'!AG5,'8'!AG5,'9'!AG5,'10'!AG5,'11'!AG5,'12'!AG5,'13'!AG5,'14'!AG5,'15'!AG5,'16'!AG5,'17'!AG5,'18'!AG5,'19'!AG5,'20'!AG5,'21'!AG5,'22'!AG5,'23'!AG5,'24'!AG5,'25'!AG5,'26'!AG5,'27'!AG5,'28'!AG5,'29'!AG5,'30'!AG5,'31'!AG5)</f>
        <v>0</v>
      </c>
      <c r="N3" s="97"/>
    </row>
    <row r="4" spans="1:14" x14ac:dyDescent="0.3">
      <c r="A4" s="96" t="s">
        <v>51</v>
      </c>
      <c r="B4" s="97"/>
      <c r="C4" s="97">
        <f ca="1">SUM(Devir!W6,'1'!W6,'2'!W6,'3'!W6,'4'!W6,'5'!W6,'6'!W6,'7'!W6,'8'!W6,'9'!W6,'10'!W6,'11'!W6,'12'!W6,'13'!W6,'14'!W6,'15'!W6,'16'!W6,'17'!W6,'18'!W6,'19'!W6,'20'!W6,'21'!W6,'22'!W6,'23'!W6,'24'!W6,'25'!W6,'26'!W6,'27'!W6,'28'!W6,'29'!W6,'30'!W6,'31'!W6)</f>
        <v>0</v>
      </c>
      <c r="D4" s="97"/>
      <c r="F4" s="96" t="s">
        <v>51</v>
      </c>
      <c r="G4" s="97">
        <f>SUM(Devir!AA6,'1'!AA6,'2'!AA6,'3'!AA6,'4'!AA6,'5'!AA6,'6'!AA6,'7'!AA6,'8'!AA6,'9'!AA6,'10'!AA6,'11'!AA6,'12'!AA6,'13'!AA6,'14'!AA6,'15'!AA6,'16'!AA6,'17'!AA6,'18'!AA6,'19'!AA6,'20'!AA6,'21'!AA6,'22'!AA6,'23'!AA6,'24'!AA6,'25'!AA6,'26'!AA6,'27'!AA6,'28'!AA6,'29'!AA6,'30'!AA6,'31'!AA6)</f>
        <v>0</v>
      </c>
      <c r="H4" s="97">
        <f>SUM(Devir!AB6,'1'!AB6,'2'!AB6,'3'!AB6,'4'!AB6,'5'!AB6,'6'!AB6,'7'!AB6,'8'!AB6,'9'!AB6,'10'!AB6,'11'!AB6,'12'!AB6,'13'!AB6,'14'!AB6,'15'!AB6,'16'!AB6,'17'!AB6,'18'!AB6,'19'!AB6,'20'!AB6,'21'!AB6,'22'!AB6,'23'!AB6,'24'!AB6,'25'!AB6,'26'!AB6,'27'!AB6,'28'!AB6,'29'!AB6,'30'!AB6,'31'!AB6)</f>
        <v>0</v>
      </c>
      <c r="I4" s="97">
        <f t="shared" ref="I4:I10" si="0">G4-H4</f>
        <v>0</v>
      </c>
      <c r="K4" s="96" t="s">
        <v>54</v>
      </c>
      <c r="L4" s="97">
        <f ca="1">SUM(Devir!AF6,'1'!AF6,'2'!AF6,'3'!AF6,'4'!AF6,'5'!AF6,'6'!AF6,'7'!AF6,'8'!AF6,'9'!AF6,'10'!AF6,'11'!AF6,'12'!AF6,'13'!AF6,'14'!AF6,'15'!AF6,'16'!AF6,'17'!AF6,'18'!AF6,'19'!AF6,'20'!AF6,'21'!AF6,'22'!AF6,'23'!AF6,'24'!AF6,'25'!AF6,'26'!AF6,'27'!AF6,'28'!AF6,'29'!AF6,'30'!AF6,'31'!AF6)</f>
        <v>0</v>
      </c>
      <c r="M4" s="97">
        <f ca="1">SUM(Devir!AG6,'1'!AG6,'2'!AG6,'3'!AG6,'4'!AG6,'5'!AG6,'6'!AG6,'7'!AG6,'8'!AG6,'9'!AG6,'10'!AG6,'11'!AG6,'12'!AG6,'13'!AG6,'14'!AG6,'15'!AG6,'16'!AG6,'17'!AG6,'18'!AG6,'19'!AG6,'20'!AG6,'21'!AG6,'22'!AG6,'23'!AG6,'24'!AG6,'25'!AG6,'26'!AG6,'27'!AG6,'28'!AG6,'29'!AG6,'30'!AG6,'31'!AG6)</f>
        <v>0</v>
      </c>
      <c r="N4" s="97"/>
    </row>
    <row r="5" spans="1:14" x14ac:dyDescent="0.3">
      <c r="A5" s="96" t="s">
        <v>52</v>
      </c>
      <c r="B5" s="97"/>
      <c r="C5" s="97">
        <f ca="1">SUM(Devir!W7,'1'!W7,'2'!W7,'3'!W7,'4'!W7,'5'!W7,'6'!W7,'7'!W7,'8'!W7,'9'!W7,'10'!W7,'11'!W7,'12'!W7,'13'!W7,'14'!W7,'15'!W7,'16'!W7,'17'!W7,'18'!W7,'19'!W7,'20'!W7,'21'!W7,'22'!W7,'23'!W7,'24'!W7,'25'!W7,'26'!W7,'27'!W7,'28'!W7,'29'!W7,'30'!W7,'31'!W7)</f>
        <v>0</v>
      </c>
      <c r="D5" s="97"/>
      <c r="F5" s="96" t="s">
        <v>52</v>
      </c>
      <c r="G5" s="97">
        <f>SUM(Devir!AA7,'1'!AA7,'2'!AA7,'3'!AA7,'4'!AA7,'5'!AA7,'6'!AA7,'7'!AA7,'8'!AA7,'9'!AA7,'10'!AA7,'11'!AA7,'12'!AA7,'13'!AA7,'14'!AA7,'15'!AA7,'16'!AA7,'17'!AA7,'18'!AA7,'19'!AA7,'20'!AA7,'21'!AA7,'22'!AA7,'23'!AA7,'24'!AA7,'25'!AA7,'26'!AA7,'27'!AA7,'28'!AA7,'29'!AA7,'30'!AA7,'31'!AA7)</f>
        <v>0</v>
      </c>
      <c r="H5" s="97">
        <f>SUM(Devir!AB7,'1'!AB7,'2'!AB7,'3'!AB7,'4'!AB7,'5'!AB7,'6'!AB7,'7'!AB7,'8'!AB7,'9'!AB7,'10'!AB7,'11'!AB7,'12'!AB7,'13'!AB7,'14'!AB7,'15'!AB7,'16'!AB7,'17'!AB7,'18'!AB7,'19'!AB7,'20'!AB7,'21'!AB7,'22'!AB7,'23'!AB7,'24'!AB7,'25'!AB7,'26'!AB7,'27'!AB7,'28'!AB7,'29'!AB7,'30'!AB7,'31'!AB7)</f>
        <v>0</v>
      </c>
      <c r="I5" s="97">
        <f t="shared" si="0"/>
        <v>0</v>
      </c>
      <c r="K5" s="96" t="s">
        <v>55</v>
      </c>
      <c r="L5" s="97">
        <f ca="1">SUM(Devir!AF7,'1'!AF7,'2'!AF7,'3'!AF7,'4'!AF7,'5'!AF7,'6'!AF7,'7'!AF7,'8'!AF7,'9'!AF7,'10'!AF7,'11'!AF7,'12'!AF7,'13'!AF7,'14'!AF7,'15'!AF7,'16'!AF7,'17'!AF7,'18'!AF7,'19'!AF7,'20'!AF7,'21'!AF7,'22'!AF7,'23'!AF7,'24'!AF7,'25'!AF7,'26'!AF7,'27'!AF7,'28'!AF7,'29'!AF7,'30'!AF7,'31'!AF7)</f>
        <v>0</v>
      </c>
      <c r="M5" s="97">
        <f ca="1">SUM(Devir!AG7,'1'!AG7,'2'!AG7,'3'!AG7,'4'!AG7,'5'!AG7,'6'!AG7,'7'!AG7,'8'!AG7,'9'!AG7,'10'!AG7,'11'!AG7,'12'!AG7,'13'!AG7,'14'!AG7,'15'!AG7,'16'!AG7,'17'!AG7,'18'!AG7,'19'!AG7,'20'!AG7,'21'!AG7,'22'!AG7,'23'!AG7,'24'!AG7,'25'!AG7,'26'!AG7,'27'!AG7,'28'!AG7,'29'!AG7,'30'!AG7,'31'!AG7)</f>
        <v>0</v>
      </c>
      <c r="N5" s="97"/>
    </row>
    <row r="6" spans="1:14" x14ac:dyDescent="0.3">
      <c r="A6" s="96" t="s">
        <v>53</v>
      </c>
      <c r="B6" s="97"/>
      <c r="C6" s="97">
        <f ca="1">SUM(Devir!W8,'1'!W8,'2'!W8,'3'!W8,'4'!W8,'5'!W8,'6'!W8,'7'!W8,'8'!W8,'9'!W8,'10'!W8,'11'!W8,'12'!W8,'13'!W8,'14'!W8,'15'!W8,'16'!W8,'17'!W8,'18'!W8,'19'!W8,'20'!W8,'21'!W8,'22'!W8,'23'!W8,'24'!W8,'25'!W8,'26'!W8,'27'!W8,'28'!W8,'29'!W8,'30'!W8,'31'!W8)</f>
        <v>0</v>
      </c>
      <c r="D6" s="97"/>
      <c r="F6" s="96" t="s">
        <v>53</v>
      </c>
      <c r="G6" s="97">
        <f>SUM(Devir!AA8,'1'!AA8,'2'!AA8,'3'!AA8,'4'!AA8,'5'!AA8,'6'!AA8,'7'!AA8,'8'!AA8,'9'!AA8,'10'!AA8,'11'!AA8,'12'!AA8,'13'!AA8,'14'!AA8,'15'!AA8,'16'!AA8,'17'!AA8,'18'!AA8,'19'!AA8,'20'!AA8,'21'!AA8,'22'!AA8,'23'!AA8,'24'!AA8,'25'!AA8,'26'!AA8,'27'!AA8,'28'!AA8,'29'!AA8,'30'!AA8,'31'!AA8)</f>
        <v>0</v>
      </c>
      <c r="H6" s="97">
        <f>SUM(Devir!AB8,'1'!AB8,'2'!AB8,'3'!AB8,'4'!AB8,'5'!AB8,'6'!AB8,'7'!AB8,'8'!AB8,'9'!AB8,'10'!AB8,'11'!AB8,'12'!AB8,'13'!AB8,'14'!AB8,'15'!AB8,'16'!AB8,'17'!AB8,'18'!AB8,'19'!AB8,'20'!AB8,'21'!AB8,'22'!AB8,'23'!AB8,'24'!AB8,'25'!AB8,'26'!AB8,'27'!AB8,'28'!AB8,'29'!AB8,'30'!AB8,'31'!AB8)</f>
        <v>0</v>
      </c>
      <c r="I6" s="97">
        <f t="shared" si="0"/>
        <v>0</v>
      </c>
      <c r="K6" s="96" t="s">
        <v>56</v>
      </c>
      <c r="L6" s="97">
        <f ca="1">SUM(Devir!AF8,'1'!AF8,'2'!AF8,'3'!AF8,'4'!AF8,'5'!AF8,'6'!AF8,'7'!AF8,'8'!AF8,'9'!AF8,'10'!AF8,'11'!AF8,'12'!AF8,'13'!AF8,'14'!AF8,'15'!AF8,'16'!AF8,'17'!AF8,'18'!AF8,'19'!AF8,'20'!AF8,'21'!AF8,'22'!AF8,'23'!AF8,'24'!AF8,'25'!AF8,'26'!AF8,'27'!AF8,'28'!AF8,'29'!AF8,'30'!AF8,'31'!AF8)</f>
        <v>0</v>
      </c>
      <c r="M6" s="97">
        <f ca="1">SUM(Devir!AG8,'1'!AG8,'2'!AG8,'3'!AG8,'4'!AG8,'5'!AG8,'6'!AG8,'7'!AG8,'8'!AG8,'9'!AG8,'10'!AG8,'11'!AG8,'12'!AG8,'13'!AG8,'14'!AG8,'15'!AG8,'16'!AG8,'17'!AG8,'18'!AG8,'19'!AG8,'20'!AG8,'21'!AG8,'22'!AG8,'23'!AG8,'24'!AG8,'25'!AG8,'26'!AG8,'27'!AG8,'28'!AG8,'29'!AG8,'30'!AG8,'31'!AG8)</f>
        <v>0</v>
      </c>
      <c r="N6" s="97"/>
    </row>
    <row r="7" spans="1:14" x14ac:dyDescent="0.3">
      <c r="A7" s="96" t="s">
        <v>54</v>
      </c>
      <c r="B7" s="97"/>
      <c r="C7" s="97">
        <f ca="1">SUM(Devir!W9,'1'!W9,'2'!W9,'3'!W9,'4'!W9,'5'!W9,'6'!W9,'7'!W9,'8'!W9,'9'!W9,'10'!W9,'11'!W9,'12'!W9,'13'!W9,'14'!W9,'15'!W9,'16'!W9,'17'!W9,'18'!W9,'19'!W9,'20'!W9,'21'!W9,'22'!W9,'23'!W9,'24'!W9,'25'!W9,'26'!W9,'27'!W9,'28'!W9,'29'!W9,'30'!W9,'31'!W9)</f>
        <v>0</v>
      </c>
      <c r="D7" s="97"/>
      <c r="F7" s="96" t="s">
        <v>54</v>
      </c>
      <c r="G7" s="97">
        <f>SUM(Devir!AA9,'1'!AA9,'2'!AA9,'3'!AA9,'4'!AA9,'5'!AA9,'6'!AA9,'7'!AA9,'8'!AA9,'9'!AA9,'10'!AA9,'11'!AA9,'12'!AA9,'13'!AA9,'14'!AA9,'15'!AA9,'16'!AA9,'17'!AA9,'18'!AA9,'19'!AA9,'20'!AA9,'21'!AA9,'22'!AA9,'23'!AA9,'24'!AA9,'25'!AA9,'26'!AA9,'27'!AA9,'28'!AA9,'29'!AA9,'30'!AA9,'31'!AA9)</f>
        <v>0</v>
      </c>
      <c r="H7" s="97">
        <f>SUM(Devir!AB9,'1'!AB9,'2'!AB9,'3'!AB9,'4'!AB9,'5'!AB9,'6'!AB9,'7'!AB9,'8'!AB9,'9'!AB9,'10'!AB9,'11'!AB9,'12'!AB9,'13'!AB9,'14'!AB9,'15'!AB9,'16'!AB9,'17'!AB9,'18'!AB9,'19'!AB9,'20'!AB9,'21'!AB9,'22'!AB9,'23'!AB9,'24'!AB9,'25'!AB9,'26'!AB9,'27'!AB9,'28'!AB9,'29'!AB9,'30'!AB9,'31'!AB9)</f>
        <v>0</v>
      </c>
      <c r="I7" s="97">
        <f t="shared" si="0"/>
        <v>0</v>
      </c>
      <c r="K7" s="96" t="s">
        <v>57</v>
      </c>
      <c r="L7" s="97">
        <f ca="1">SUM(Devir!AF9,'1'!AF9,'2'!AF9,'3'!AF9,'4'!AF9,'5'!AF9,'6'!AF9,'7'!AF9,'8'!AF9,'9'!AF9,'10'!AF9,'11'!AF9,'12'!AF9,'13'!AF9,'14'!AF9,'15'!AF9,'16'!AF9,'17'!AF9,'18'!AF9,'19'!AF9,'20'!AF9,'21'!AF9,'22'!AF9,'23'!AF9,'24'!AF9,'25'!AF9,'26'!AF9,'27'!AF9,'28'!AF9,'29'!AF9,'30'!AF9,'31'!AF9)</f>
        <v>0</v>
      </c>
      <c r="M7" s="97">
        <f ca="1">SUM(Devir!AG9,'1'!AG9,'2'!AG9,'3'!AG9,'4'!AG9,'5'!AG9,'6'!AG9,'7'!AG9,'8'!AG9,'9'!AG9,'10'!AG9,'11'!AG9,'12'!AG9,'13'!AG9,'14'!AG9,'15'!AG9,'16'!AG9,'17'!AG9,'18'!AG9,'19'!AG9,'20'!AG9,'21'!AG9,'22'!AG9,'23'!AG9,'24'!AG9,'25'!AG9,'26'!AG9,'27'!AG9,'28'!AG9,'29'!AG9,'30'!AG9,'31'!AG9)</f>
        <v>0</v>
      </c>
      <c r="N7" s="97"/>
    </row>
    <row r="8" spans="1:14" x14ac:dyDescent="0.3">
      <c r="A8" s="96" t="s">
        <v>55</v>
      </c>
      <c r="B8" s="97"/>
      <c r="C8" s="97">
        <f ca="1">SUM(Devir!W10,'1'!W10,'2'!W10,'3'!W10,'4'!W10,'5'!W10,'6'!W10,'7'!W10,'8'!W10,'9'!W10,'10'!W10,'11'!W10,'12'!W10,'13'!W10,'14'!W10,'15'!W10,'16'!W10,'17'!W10,'18'!W10,'19'!W10,'20'!W10,'21'!W10,'22'!W10,'23'!W10,'24'!W10,'25'!W10,'26'!W10,'27'!W10,'28'!W10,'29'!W10,'30'!W10,'31'!W10)</f>
        <v>0</v>
      </c>
      <c r="D8" s="97"/>
      <c r="F8" s="96" t="s">
        <v>55</v>
      </c>
      <c r="G8" s="97">
        <f>SUM(Devir!AA10,'1'!AA10,'2'!AA10,'3'!AA10,'4'!AA10,'5'!AA10,'6'!AA10,'7'!AA10,'8'!AA10,'9'!AA10,'10'!AA10,'11'!AA10,'12'!AA10,'13'!AA10,'14'!AA10,'15'!AA10,'16'!AA10,'17'!AA10,'18'!AA10,'19'!AA10,'20'!AA10,'21'!AA10,'22'!AA10,'23'!AA10,'24'!AA10,'25'!AA10,'26'!AA10,'27'!AA10,'28'!AA10,'29'!AA10,'30'!AA10,'31'!AA10)</f>
        <v>0</v>
      </c>
      <c r="H8" s="97">
        <f>SUM(Devir!AB10,'1'!AB10,'2'!AB10,'3'!AB10,'4'!AB10,'5'!AB10,'6'!AB10,'7'!AB10,'8'!AB10,'9'!AB10,'10'!AB10,'11'!AB10,'12'!AB10,'13'!AB10,'14'!AB10,'15'!AB10,'16'!AB10,'17'!AB10,'18'!AB10,'19'!AB10,'20'!AB10,'21'!AB10,'22'!AB10,'23'!AB10,'24'!AB10,'25'!AB10,'26'!AB10,'27'!AB10,'28'!AB10,'29'!AB10,'30'!AB10,'31'!AB10)</f>
        <v>0</v>
      </c>
      <c r="I8" s="97">
        <f t="shared" si="0"/>
        <v>0</v>
      </c>
      <c r="K8" s="96"/>
      <c r="L8" s="97"/>
      <c r="M8" s="97"/>
      <c r="N8" s="97"/>
    </row>
    <row r="9" spans="1:14" x14ac:dyDescent="0.3">
      <c r="A9" s="96" t="s">
        <v>56</v>
      </c>
      <c r="B9" s="97"/>
      <c r="C9" s="97">
        <f ca="1">SUM(Devir!W11,'1'!W11,'2'!W11,'3'!W11,'4'!W11,'5'!W11,'6'!W11,'7'!W11,'8'!W11,'9'!W11,'10'!W11,'11'!W11,'12'!W11,'13'!W11,'14'!W11,'15'!W11,'16'!W11,'17'!W11,'18'!W11,'19'!W11,'20'!W11,'21'!W11,'22'!W11,'23'!W11,'24'!W11,'25'!W11,'26'!W11,'27'!W11,'28'!W11,'29'!W11,'30'!W11,'31'!W11)</f>
        <v>0</v>
      </c>
      <c r="D9" s="97"/>
      <c r="F9" s="96" t="s">
        <v>56</v>
      </c>
      <c r="G9" s="97">
        <f>SUM(Devir!AA11,'1'!AA11,'2'!AA11,'3'!AA11,'4'!AA11,'5'!AA11,'6'!AA11,'7'!AA11,'8'!AA11,'9'!AA11,'10'!AA11,'11'!AA11,'12'!AA11,'13'!AA11,'14'!AA11,'15'!AA11,'16'!AA11,'17'!AA11,'18'!AA11,'19'!AA11,'20'!AA11,'21'!AA11,'22'!AA11,'23'!AA11,'24'!AA11,'25'!AA11,'26'!AA11,'27'!AA11,'28'!AA11,'29'!AA11,'30'!AA11,'31'!AA11)</f>
        <v>0</v>
      </c>
      <c r="H9" s="97">
        <f>SUM(Devir!AB11,'1'!AB11,'2'!AB11,'3'!AB11,'4'!AB11,'5'!AB11,'6'!AB11,'7'!AB11,'8'!AB11,'9'!AB11,'10'!AB11,'11'!AB11,'12'!AB11,'13'!AB11,'14'!AB11,'15'!AB11,'16'!AB11,'17'!AB11,'18'!AB11,'19'!AB11,'20'!AB11,'21'!AB11,'22'!AB11,'23'!AB11,'24'!AB11,'25'!AB11,'26'!AB11,'27'!AB11,'28'!AB11,'29'!AB11,'30'!AB11,'31'!AB11)</f>
        <v>0</v>
      </c>
      <c r="I9" s="97">
        <f t="shared" si="0"/>
        <v>0</v>
      </c>
      <c r="K9" s="96"/>
      <c r="L9" s="97"/>
      <c r="M9" s="97"/>
      <c r="N9" s="97"/>
    </row>
    <row r="10" spans="1:14" x14ac:dyDescent="0.3">
      <c r="A10" s="96" t="s">
        <v>57</v>
      </c>
      <c r="B10" s="97"/>
      <c r="C10" s="97">
        <f ca="1">SUM(Devir!W12,'1'!W12,'2'!W12,'3'!W12,'4'!W12,'5'!W12,'6'!W12,'7'!W12,'8'!W12,'9'!W12,'10'!W12,'11'!W12,'12'!W12,'13'!W12,'14'!W12,'15'!W12,'16'!W12,'17'!W12,'18'!W12,'19'!W12,'20'!W12,'21'!W12,'22'!W12,'23'!W12,'24'!W12,'25'!W12,'26'!W12,'27'!W12,'28'!W12,'29'!W12,'30'!W12,'31'!W12)</f>
        <v>0</v>
      </c>
      <c r="D10" s="97"/>
      <c r="F10" s="96" t="s">
        <v>57</v>
      </c>
      <c r="G10" s="97">
        <f>SUM(Devir!AA12,'1'!AA12,'2'!AA12,'3'!AA12,'4'!AA12,'5'!AA12,'6'!AA12,'7'!AA12,'8'!AA12,'9'!AA12,'10'!AA12,'11'!AA12,'12'!AA12,'13'!AA12,'14'!AA12,'15'!AA12,'16'!AA12,'17'!AA12,'18'!AA12,'19'!AA12,'20'!AA12,'21'!AA12,'22'!AA12,'23'!AA12,'24'!AA12,'25'!AA12,'26'!AA12,'27'!AA12,'28'!AA12,'29'!AA12,'30'!AA12,'31'!AA12)</f>
        <v>0</v>
      </c>
      <c r="H10" s="97">
        <f>SUM(Devir!AB12,'1'!AB12,'2'!AB12,'3'!AB12,'4'!AB12,'5'!AB12,'6'!AB12,'7'!AB12,'8'!AB12,'9'!AB12,'10'!AB12,'11'!AB12,'12'!AB12,'13'!AB12,'14'!AB12,'15'!AB12,'16'!AB12,'17'!AB12,'18'!AB12,'19'!AB12,'20'!AB12,'21'!AB12,'22'!AB12,'23'!AB12,'24'!AB12,'25'!AB12,'26'!AB12,'27'!AB12,'28'!AB12,'29'!AB12,'30'!AB12,'31'!AB12)</f>
        <v>0</v>
      </c>
      <c r="I10" s="97">
        <f t="shared" si="0"/>
        <v>0</v>
      </c>
      <c r="K10" s="96"/>
      <c r="L10" s="97"/>
      <c r="M10" s="97"/>
      <c r="N10" s="97"/>
    </row>
    <row r="11" spans="1:14" x14ac:dyDescent="0.3">
      <c r="A11" s="102" t="s">
        <v>15</v>
      </c>
      <c r="B11" s="100"/>
      <c r="C11" s="100">
        <f ca="1">SUM(C3:C10)</f>
        <v>0</v>
      </c>
      <c r="D11" s="100"/>
      <c r="E11" s="101"/>
      <c r="F11" s="102" t="s">
        <v>15</v>
      </c>
      <c r="G11" s="100">
        <f>SUM(G3:G10)</f>
        <v>41182</v>
      </c>
      <c r="H11" s="100">
        <f t="shared" ref="H11:I11" si="1">SUM(H3:H10)</f>
        <v>0</v>
      </c>
      <c r="I11" s="100">
        <f t="shared" si="1"/>
        <v>41182</v>
      </c>
      <c r="J11" s="101"/>
      <c r="K11" s="102" t="s">
        <v>15</v>
      </c>
      <c r="L11" s="100">
        <f ca="1">SUM(L3:L10)</f>
        <v>44000</v>
      </c>
      <c r="M11" s="100">
        <f ca="1">SUM(M3:M10)</f>
        <v>0</v>
      </c>
      <c r="N11" s="100"/>
    </row>
    <row r="14" spans="1:14" x14ac:dyDescent="0.3">
      <c r="A14" s="171" t="s">
        <v>66</v>
      </c>
      <c r="B14" s="171"/>
      <c r="C14" s="171"/>
      <c r="D14" s="171"/>
    </row>
    <row r="15" spans="1:14" x14ac:dyDescent="0.3">
      <c r="A15" s="102"/>
      <c r="B15" s="102" t="s">
        <v>39</v>
      </c>
      <c r="C15" s="102" t="s">
        <v>40</v>
      </c>
      <c r="D15" s="102" t="s">
        <v>61</v>
      </c>
    </row>
    <row r="16" spans="1:14" x14ac:dyDescent="0.3">
      <c r="A16" s="96" t="s">
        <v>0</v>
      </c>
      <c r="B16" s="97"/>
      <c r="C16" s="97"/>
      <c r="D16" s="97">
        <f>SUM('1'!E2,'2'!E2,'3'!E2,'4'!E2,'5'!E2,'6'!E2,'7'!E2,'8'!E2,'9'!E2,'10'!E2,'11'!E2,'12'!E2,'13'!E2,'14'!E2,'15'!E2,'16'!E2,'17'!E2,'18'!E2,'19'!E2,'20'!E2,'21'!E2,'22'!E2,'23'!E2,'24'!E2,'25'!E2,'26'!E2,'27'!E2,'28'!E2,'29'!E2,'30'!E2,'31'!E2,Devir!E2)</f>
        <v>552.32040000000075</v>
      </c>
    </row>
    <row r="17" spans="1:4" x14ac:dyDescent="0.3">
      <c r="A17" s="96" t="s">
        <v>1</v>
      </c>
      <c r="B17" s="97"/>
      <c r="C17" s="97"/>
      <c r="D17" s="97">
        <f>SUM('1'!E3,'2'!E3,'3'!E3,'4'!E3,'5'!E3,'6'!E3,'7'!E3,'8'!E3,'9'!E3,'10'!E3,'11'!E3,'12'!E3,'13'!E3,'14'!E3,'15'!E3,'16'!E3,'17'!E3,'18'!E3,'19'!E3,'20'!E3,'21'!E3,'22'!E3,'23'!E3,'24'!E3,'25'!E3,'26'!E3,'27'!E3,'28'!E3,'29'!E3,'30'!E3,'31'!E3,Devir!E3)</f>
        <v>2870.4</v>
      </c>
    </row>
    <row r="18" spans="1:4" x14ac:dyDescent="0.3">
      <c r="A18" s="96" t="s">
        <v>2</v>
      </c>
      <c r="B18" s="97"/>
      <c r="C18" s="97"/>
      <c r="D18" s="97">
        <f>SUM('1'!E4,'2'!E4,'3'!E4,'4'!E4,'5'!E4,'6'!E4,'7'!E4,'8'!E4,'9'!E4,'10'!E4,'11'!E4,'12'!E4,'13'!E4,'14'!E4,'15'!E4,'16'!E4,'17'!E4,'18'!E4,'19'!E4,'20'!E4,'21'!E4,'22'!E4,'23'!E4,'24'!E4,'25'!E4,'26'!E4,'27'!E4,'28'!E4,'29'!E4,'30'!E4,'31'!E4,Devir!E4)</f>
        <v>-50</v>
      </c>
    </row>
    <row r="19" spans="1:4" x14ac:dyDescent="0.3">
      <c r="A19" s="96" t="s">
        <v>3</v>
      </c>
      <c r="B19" s="97"/>
      <c r="C19" s="97"/>
      <c r="D19" s="97">
        <f>SUM('1'!E5,'2'!E5,'3'!E5,'4'!E5,'5'!E5,'6'!E5,'7'!E5,'8'!E5,'9'!E5,'10'!E5,'11'!E5,'12'!E5,'13'!E5,'14'!E5,'15'!E5,'16'!E5,'17'!E5,'18'!E5,'19'!E5,'20'!E5,'21'!E5,'22'!E5,'23'!E5,'24'!E5,'25'!E5,'26'!E5,'27'!E5,'28'!E5,'29'!E5,'30'!E5,'31'!E5,Devir!E5)</f>
        <v>0</v>
      </c>
    </row>
    <row r="20" spans="1:4" x14ac:dyDescent="0.3">
      <c r="A20" s="96" t="s">
        <v>4</v>
      </c>
      <c r="B20" s="97"/>
      <c r="C20" s="97"/>
      <c r="D20" s="97">
        <f>SUM('1'!E6,'2'!E6,'3'!E6,'4'!E6,'5'!E6,'6'!E6,'7'!E6,'8'!E6,'9'!E6,'10'!E6,'11'!E6,'12'!E6,'13'!E6,'14'!E6,'15'!E6,'16'!E6,'17'!E6,'18'!E6,'19'!E6,'20'!E6,'21'!E6,'22'!E6,'23'!E6,'24'!E6,'25'!E6,'26'!E6,'27'!E6,'28'!E6,'29'!E6,'30'!E6,'31'!E6,Devir!E6)</f>
        <v>398.97</v>
      </c>
    </row>
    <row r="21" spans="1:4" x14ac:dyDescent="0.3">
      <c r="A21" s="96" t="s">
        <v>18</v>
      </c>
      <c r="B21" s="97"/>
      <c r="C21" s="97"/>
      <c r="D21" s="97">
        <f>SUM('1'!E7,'2'!E7,'3'!E7,'4'!E7,'5'!E7,'6'!E7,'7'!E7,'8'!E7,'9'!E7,'10'!E7,'11'!E7,'12'!E7,'13'!E7,'14'!E7,'15'!E7,'16'!E7,'17'!E7,'18'!E7,'19'!E7,'20'!E7,'21'!E7,'22'!E7,'23'!E7,'24'!E7,'25'!E7,'26'!E7,'27'!E7,'28'!E7,'29'!E7,'30'!E7,'31'!E7,Devir!E7)</f>
        <v>0</v>
      </c>
    </row>
    <row r="22" spans="1:4" x14ac:dyDescent="0.3">
      <c r="A22" s="96" t="s">
        <v>16</v>
      </c>
      <c r="B22" s="97"/>
      <c r="C22" s="97"/>
      <c r="D22" s="97">
        <f>SUM('1'!E8,'2'!E8,'3'!E8,'4'!E8,'5'!E8,'6'!E8,'7'!E8,'8'!E8,'9'!E8,'10'!E8,'11'!E8,'12'!E8,'13'!E8,'14'!E8,'15'!E8,'16'!E8,'17'!E8,'18'!E8,'19'!E8,'20'!E8,'21'!E8,'22'!E8,'23'!E8,'24'!E8,'25'!E8,'26'!E8,'27'!E8,'28'!E8,'29'!E8,'30'!E8,'31'!E8,Devir!E8)</f>
        <v>0</v>
      </c>
    </row>
    <row r="23" spans="1:4" x14ac:dyDescent="0.3">
      <c r="A23" s="96" t="s">
        <v>5</v>
      </c>
      <c r="B23" s="97"/>
      <c r="C23" s="97"/>
      <c r="D23" s="97">
        <f>SUM('1'!E9,'2'!E9,'3'!E9,'4'!E9,'5'!E9,'6'!E9,'7'!E9,'8'!E9,'9'!E9,'10'!E9,'11'!E9,'12'!E9,'13'!E9,'14'!E9,'15'!E9,'16'!E9,'17'!E9,'18'!E9,'19'!E9,'20'!E9,'21'!E9,'22'!E9,'23'!E9,'24'!E9,'25'!E9,'26'!E9,'27'!E9,'28'!E9,'29'!E9,'30'!E9,'31'!E9,Devir!E9)</f>
        <v>0</v>
      </c>
    </row>
    <row r="24" spans="1:4" x14ac:dyDescent="0.3">
      <c r="A24" s="96" t="s">
        <v>7</v>
      </c>
      <c r="B24" s="97"/>
      <c r="C24" s="97"/>
      <c r="D24" s="97">
        <f>SUM('1'!E10,'2'!E10,'3'!E10,'4'!E10,'5'!E10,'6'!E10,'7'!E10,'8'!E10,'9'!E10,'10'!E10,'11'!E10,'12'!E10,'13'!E10,'14'!E10,'15'!E10,'16'!E10,'17'!E10,'18'!E10,'19'!E10,'20'!E10,'21'!E10,'22'!E10,'23'!E10,'24'!E10,'25'!E10,'26'!E10,'27'!E10,'28'!E10,'29'!E10,'30'!E10,'31'!E10,Devir!E10)</f>
        <v>4208.75</v>
      </c>
    </row>
    <row r="25" spans="1:4" x14ac:dyDescent="0.3">
      <c r="A25" s="96" t="s">
        <v>8</v>
      </c>
      <c r="B25" s="97"/>
      <c r="C25" s="97"/>
      <c r="D25" s="97">
        <f>SUM('1'!E11,'2'!E11,'3'!E11,'4'!E11,'5'!E11,'6'!E11,'7'!E11,'8'!E11,'9'!E11,'10'!E11,'11'!E11,'12'!E11,'13'!E11,'14'!E11,'15'!E11,'16'!E11,'17'!E11,'18'!E11,'19'!E11,'20'!E11,'21'!E11,'22'!E11,'23'!E11,'24'!E11,'25'!E11,'26'!E11,'27'!E11,'28'!E11,'29'!E11,'30'!E11,'31'!E11,Devir!E11)</f>
        <v>920</v>
      </c>
    </row>
    <row r="26" spans="1:4" x14ac:dyDescent="0.3">
      <c r="A26" s="96" t="s">
        <v>6</v>
      </c>
      <c r="B26" s="97"/>
      <c r="C26" s="97"/>
      <c r="D26" s="97">
        <f>SUM('1'!E12,'2'!E12,'3'!E12,'4'!E12,'5'!E12,'6'!E12,'7'!E12,'8'!E12,'9'!E12,'10'!E12,'11'!E12,'12'!E12,'13'!E12,'14'!E12,'15'!E12,'16'!E12,'17'!E12,'18'!E12,'19'!E12,'20'!E12,'21'!E12,'22'!E12,'23'!E12,'24'!E12,'25'!E12,'26'!E12,'27'!E12,'28'!E12,'29'!E12,'30'!E12,'31'!E12,Devir!E12)</f>
        <v>0</v>
      </c>
    </row>
    <row r="27" spans="1:4" x14ac:dyDescent="0.3">
      <c r="A27" s="96"/>
      <c r="B27" s="97"/>
      <c r="C27" s="97"/>
      <c r="D27" s="97">
        <f>SUM('1'!E13,'2'!E13,'3'!E13,'4'!E13,'5'!E13,'6'!E13,'7'!E13,'8'!E13,'9'!E13,'10'!E13,'11'!E13,'12'!E13,'13'!E13,'14'!E13,'15'!E13,'16'!E13,'17'!E13,'18'!E13,'19'!E13,'20'!E13,'21'!E13,'22'!E13,'23'!E13,'24'!E13,'25'!E13,'26'!E13,'27'!E13,'28'!E13,'29'!E13,'30'!E13,'31'!E13,Devir!E13)</f>
        <v>0</v>
      </c>
    </row>
    <row r="28" spans="1:4" x14ac:dyDescent="0.3">
      <c r="A28" s="96"/>
      <c r="B28" s="97"/>
      <c r="C28" s="97"/>
      <c r="D28" s="97">
        <f>SUM('1'!E14,'2'!E14,'3'!E14,'4'!E14,'5'!E14,'6'!E14,'7'!E14,'8'!E14,'9'!E14,'10'!E14,'11'!E14,'12'!E14,'13'!E14,'14'!E14,'15'!E14,'16'!E14,'17'!E14,'18'!E14,'19'!E14,'20'!E14,'21'!E14,'22'!E14,'23'!E14,'24'!E14,'25'!E14,'26'!E14,'27'!E14,'28'!E14,'29'!E14,'30'!E14,'31'!E14,Devir!E14)</f>
        <v>0</v>
      </c>
    </row>
    <row r="29" spans="1:4" x14ac:dyDescent="0.3">
      <c r="A29" s="96"/>
      <c r="B29" s="97"/>
      <c r="C29" s="97"/>
      <c r="D29" s="97">
        <f>SUM('1'!E15,'2'!E15,'3'!E15,'4'!E15,'5'!E15,'6'!E15,'7'!E15,'8'!E15,'9'!E15,'10'!E15,'11'!E15,'12'!E15,'13'!E15,'14'!E15,'15'!E15,'16'!E15,'17'!E15,'18'!E15,'19'!E15,'20'!E15,'21'!E15,'22'!E15,'23'!E15,'24'!E15,'25'!E15,'26'!E15,'27'!E15,'28'!E15,'29'!E15,'30'!E15,'31'!E15,Devir!E15)</f>
        <v>0</v>
      </c>
    </row>
    <row r="30" spans="1:4" x14ac:dyDescent="0.3">
      <c r="A30" s="96"/>
      <c r="B30" s="97"/>
      <c r="C30" s="97"/>
      <c r="D30" s="97">
        <f>SUM('1'!E16,'2'!E16,'3'!E16,'4'!E16,'5'!E16,'6'!E16,'7'!E16,'8'!E16,'9'!E16,'10'!E16,'11'!E16,'12'!E16,'13'!E16,'14'!E16,'15'!E16,'16'!E16,'17'!E16,'18'!E16,'19'!E16,'20'!E16,'21'!E16,'22'!E16,'23'!E16,'24'!E16,'25'!E16,'26'!E16,'27'!E16,'28'!E16,'29'!E16,'30'!E16,'31'!E16,Devir!E16)</f>
        <v>0</v>
      </c>
    </row>
    <row r="31" spans="1:4" x14ac:dyDescent="0.3">
      <c r="A31" s="96"/>
      <c r="B31" s="97"/>
      <c r="C31" s="97"/>
      <c r="D31" s="97">
        <f>SUM('1'!E17,'2'!E17,'3'!E17,'4'!E17,'5'!E17,'6'!E17,'7'!E17,'8'!E17,'9'!E17,'10'!E17,'11'!E17,'12'!E17,'13'!E17,'14'!E17,'15'!E17,'16'!E17,'17'!E17,'18'!E17,'19'!E17,'20'!E17,'21'!E17,'22'!E17,'23'!E17,'24'!E17,'25'!E17,'26'!E17,'27'!E17,'28'!E17,'29'!E17,'30'!E17,'31'!E17,Devir!E17)</f>
        <v>0</v>
      </c>
    </row>
    <row r="32" spans="1:4" x14ac:dyDescent="0.3">
      <c r="A32" s="96"/>
      <c r="B32" s="97"/>
      <c r="C32" s="97"/>
      <c r="D32" s="97">
        <f>SUM('1'!E18,'2'!E18,'3'!E18,'4'!E18,'5'!E18,'6'!E18,'7'!E18,'8'!E18,'9'!E18,'10'!E18,'11'!E18,'12'!E18,'13'!E18,'14'!E18,'15'!E18,'16'!E18,'17'!E18,'18'!E18,'19'!E18,'20'!E18,'21'!E18,'22'!E18,'23'!E18,'24'!E18,'25'!E18,'26'!E18,'27'!E18,'28'!E18,'29'!E18,'30'!E18,'31'!E18,Devir!E18)</f>
        <v>0</v>
      </c>
    </row>
    <row r="33" spans="1:4" x14ac:dyDescent="0.3">
      <c r="A33" s="96"/>
      <c r="B33" s="97"/>
      <c r="C33" s="97"/>
      <c r="D33" s="97">
        <f>SUM('1'!E19,'2'!E19,'3'!E19,'4'!E19,'5'!E19,'6'!E19,'7'!E19,'8'!E19,'9'!E19,'10'!E19,'11'!E19,'12'!E19,'13'!E19,'14'!E19,'15'!E19,'16'!E19,'17'!E19,'18'!E19,'19'!E19,'20'!E19,'21'!E19,'22'!E19,'23'!E19,'24'!E19,'25'!E19,'26'!E19,'27'!E19,'28'!E19,'29'!E19,'30'!E19,'31'!E19,Devir!E19)</f>
        <v>0</v>
      </c>
    </row>
    <row r="34" spans="1:4" x14ac:dyDescent="0.3">
      <c r="A34" s="96"/>
      <c r="B34" s="97"/>
      <c r="C34" s="97"/>
      <c r="D34" s="97">
        <f>SUM('1'!E20,'2'!E20,'3'!E20,'4'!E20,'5'!E20,'6'!E20,'7'!E20,'8'!E20,'9'!E20,'10'!E20,'11'!E20,'12'!E20,'13'!E20,'14'!E20,'15'!E20,'16'!E20,'17'!E20,'18'!E20,'19'!E20,'20'!E20,'21'!E20,'22'!E20,'23'!E20,'24'!E20,'25'!E20,'26'!E20,'27'!E20,'28'!E20,'29'!E20,'30'!E20,'31'!E20,Devir!E20)</f>
        <v>0</v>
      </c>
    </row>
    <row r="35" spans="1:4" x14ac:dyDescent="0.3">
      <c r="A35" s="96"/>
      <c r="B35" s="97"/>
      <c r="C35" s="97"/>
      <c r="D35" s="97">
        <f>SUM('1'!E21,'2'!E21,'3'!E21,'4'!E21,'5'!E21,'6'!E21,'7'!E21,'8'!E21,'9'!E21,'10'!E21,'11'!E21,'12'!E21,'13'!E21,'14'!E21,'15'!E21,'16'!E21,'17'!E21,'18'!E21,'19'!E21,'20'!E21,'21'!E21,'22'!E21,'23'!E21,'24'!E21,'25'!E21,'26'!E21,'27'!E21,'28'!E21,'29'!E21,'30'!E21,'31'!E21,Devir!E21)</f>
        <v>0</v>
      </c>
    </row>
    <row r="36" spans="1:4" x14ac:dyDescent="0.3">
      <c r="A36" s="96"/>
      <c r="B36" s="97"/>
      <c r="C36" s="97"/>
      <c r="D36" s="97">
        <f>SUM('1'!E22,'2'!E22,'3'!E22,'4'!E22,'5'!E22,'6'!E22,'7'!E22,'8'!E22,'9'!E22,'10'!E22,'11'!E22,'12'!E22,'13'!E22,'14'!E22,'15'!E22,'16'!E22,'17'!E22,'18'!E22,'19'!E22,'20'!E22,'21'!E22,'22'!E22,'23'!E22,'24'!E22,'25'!E22,'26'!E22,'27'!E22,'28'!E22,'29'!E22,'30'!E22,'31'!E22,Devir!E22)</f>
        <v>0</v>
      </c>
    </row>
    <row r="37" spans="1:4" x14ac:dyDescent="0.3">
      <c r="A37" s="96"/>
      <c r="B37" s="97"/>
      <c r="C37" s="97"/>
      <c r="D37" s="97">
        <f>SUM('1'!E23,'2'!E23,'3'!E23,'4'!E23,'5'!E23,'6'!E23,'7'!E23,'8'!E23,'9'!E23,'10'!E23,'11'!E23,'12'!E23,'13'!E23,'14'!E23,'15'!E23,'16'!E23,'17'!E23,'18'!E23,'19'!E23,'20'!E23,'21'!E23,'22'!E23,'23'!E23,'24'!E23,'25'!E23,'26'!E23,'27'!E23,'28'!E23,'29'!E23,'30'!E23,'31'!E23,Devir!E23)</f>
        <v>0</v>
      </c>
    </row>
    <row r="38" spans="1:4" x14ac:dyDescent="0.3">
      <c r="A38" s="96"/>
      <c r="B38" s="97"/>
      <c r="C38" s="97"/>
      <c r="D38" s="97">
        <f>SUM('1'!E24,'2'!E24,'3'!E24,'4'!E24,'5'!E24,'6'!E24,'7'!E24,'8'!E24,'9'!E24,'10'!E24,'11'!E24,'12'!E24,'13'!E24,'14'!E24,'15'!E24,'16'!E24,'17'!E24,'18'!E24,'19'!E24,'20'!E24,'21'!E24,'22'!E24,'23'!E24,'24'!E24,'25'!E24,'26'!E24,'27'!E24,'28'!E24,'29'!E24,'30'!E24,'31'!E24,Devir!E24)</f>
        <v>0</v>
      </c>
    </row>
    <row r="39" spans="1:4" x14ac:dyDescent="0.3">
      <c r="A39" s="102" t="s">
        <v>15</v>
      </c>
      <c r="B39" s="100"/>
      <c r="C39" s="100"/>
      <c r="D39" s="97"/>
    </row>
  </sheetData>
  <sheetProtection algorithmName="SHA-512" hashValue="kqPXu/ldOhPwPha4AH+VwpoMubvxAzEoJ2hxbiAxUTQW49/eI31ybnR7UhSCMgwQiDaz32k6CVFl8dS02PeDAg==" saltValue="/vvNJ2Md6zxgg8AryEW4yw==" spinCount="100000" sheet="1" objects="1" scenarios="1"/>
  <mergeCells count="4">
    <mergeCell ref="A1:D1"/>
    <mergeCell ref="F1:I1"/>
    <mergeCell ref="K1:N1"/>
    <mergeCell ref="A14:D1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1A2E-1AE4-42BE-85AD-4005BEA42F25}">
  <dimension ref="B3:E11"/>
  <sheetViews>
    <sheetView workbookViewId="0">
      <selection activeCell="E8" sqref="E8"/>
    </sheetView>
  </sheetViews>
  <sheetFormatPr defaultRowHeight="14.4" x14ac:dyDescent="0.3"/>
  <cols>
    <col min="2" max="2" width="11.88671875" bestFit="1" customWidth="1"/>
    <col min="5" max="5" width="10.21875" bestFit="1" customWidth="1"/>
  </cols>
  <sheetData>
    <row r="3" spans="2:5" x14ac:dyDescent="0.3">
      <c r="B3" t="s">
        <v>37</v>
      </c>
      <c r="E3" t="s">
        <v>36</v>
      </c>
    </row>
    <row r="4" spans="2:5" x14ac:dyDescent="0.3">
      <c r="B4" t="s">
        <v>28</v>
      </c>
      <c r="E4" t="s">
        <v>53</v>
      </c>
    </row>
    <row r="5" spans="2:5" x14ac:dyDescent="0.3">
      <c r="B5" t="s">
        <v>34</v>
      </c>
      <c r="E5" t="s">
        <v>54</v>
      </c>
    </row>
    <row r="6" spans="2:5" x14ac:dyDescent="0.3">
      <c r="B6" t="s">
        <v>35</v>
      </c>
      <c r="E6" t="s">
        <v>55</v>
      </c>
    </row>
    <row r="7" spans="2:5" x14ac:dyDescent="0.3">
      <c r="B7" t="s">
        <v>64</v>
      </c>
      <c r="E7" t="s">
        <v>57</v>
      </c>
    </row>
    <row r="8" spans="2:5" x14ac:dyDescent="0.3">
      <c r="E8" t="s">
        <v>56</v>
      </c>
    </row>
    <row r="9" spans="2:5" x14ac:dyDescent="0.3">
      <c r="E9" t="s">
        <v>50</v>
      </c>
    </row>
    <row r="10" spans="2:5" x14ac:dyDescent="0.3">
      <c r="E10" t="s">
        <v>51</v>
      </c>
    </row>
    <row r="11" spans="2:5" x14ac:dyDescent="0.3">
      <c r="E11" t="s">
        <v>52</v>
      </c>
    </row>
  </sheetData>
  <sheetProtection algorithmName="SHA-512" hashValue="/ur1bugaMqqJFDD76UdXqqWsoADUdPdmbaUyA2tVheZ/wGSDqdbQVBMuBZxIlcSqqcInY6KTPMdTLs33hmFziA==" saltValue="JTrrPk+wW/rppZnuhb/xa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36</vt:i4>
      </vt:variant>
    </vt:vector>
  </HeadingPairs>
  <TitlesOfParts>
    <vt:vector size="36" baseType="lpstr">
      <vt:lpstr>Genel Kasa</vt:lpstr>
      <vt:lpstr>Kredi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Devir</vt:lpstr>
      <vt:lpstr>Kasa</vt:lpstr>
      <vt:lpstr>Veriler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arun</dc:creator>
  <cp:lastModifiedBy>can arun</cp:lastModifiedBy>
  <dcterms:created xsi:type="dcterms:W3CDTF">2023-09-29T11:34:24Z</dcterms:created>
  <dcterms:modified xsi:type="dcterms:W3CDTF">2023-10-01T22:18:26Z</dcterms:modified>
</cp:coreProperties>
</file>